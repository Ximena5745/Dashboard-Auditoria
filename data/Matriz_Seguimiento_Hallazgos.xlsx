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f15395a9ed9a48f/Proyectos_DS/Dashboard-Auditoria/data/"/>
    </mc:Choice>
  </mc:AlternateContent>
  <xr:revisionPtr revIDLastSave="649" documentId="8_{B9D78422-FDFF-47F2-8818-479A70B2C122}" xr6:coauthVersionLast="47" xr6:coauthVersionMax="47" xr10:uidLastSave="{E4CD6886-50A6-40E3-A932-647951E02FB5}"/>
  <bookViews>
    <workbookView xWindow="-108" yWindow="-108" windowWidth="23256" windowHeight="12456" xr2:uid="{00000000-000D-0000-FFFF-FFFF00000000}"/>
  </bookViews>
  <sheets>
    <sheet name="Base Hallazgos SIG" sheetId="4" r:id="rId1"/>
    <sheet name="Hoja2" sheetId="5" state="hidden" r:id="rId2"/>
    <sheet name="Base Hallazgos Aseguramiento" sheetId="1" r:id="rId3"/>
    <sheet name="Dashboard_Comité" sheetId="2" state="hidden" r:id="rId4"/>
  </sheets>
  <definedNames>
    <definedName name="_xlnm._FilterDatabase" localSheetId="2" hidden="1">'Base Hallazgos Aseguramiento'!$A$1:$AE$25</definedName>
    <definedName name="_xlnm._FilterDatabase" localSheetId="0" hidden="1">'Base Hallazgos SIG'!$A$1:$AG$13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6" i="5"/>
  <c r="B6" i="2"/>
  <c r="B5" i="2"/>
  <c r="B4" i="2" l="1"/>
  <c r="B3" i="2"/>
</calcChain>
</file>

<file path=xl/sharedStrings.xml><?xml version="1.0" encoding="utf-8"?>
<sst xmlns="http://schemas.openxmlformats.org/spreadsheetml/2006/main" count="402" uniqueCount="208">
  <si>
    <t>Código Hallazgo</t>
  </si>
  <si>
    <t>Responsable del Proceso</t>
  </si>
  <si>
    <t>Fecha de Detección</t>
  </si>
  <si>
    <t>Descripción del Hallazgo</t>
  </si>
  <si>
    <t>Criterio Incumplido</t>
  </si>
  <si>
    <t>Causa Raíz</t>
  </si>
  <si>
    <t>Acción Correctiva</t>
  </si>
  <si>
    <t>Tipo de Acción</t>
  </si>
  <si>
    <t>Responsable de la Acción</t>
  </si>
  <si>
    <t>Área Responsable</t>
  </si>
  <si>
    <t>Fecha Compromiso</t>
  </si>
  <si>
    <t>Evidencia Esperada</t>
  </si>
  <si>
    <t>Indicador de Cumplimiento</t>
  </si>
  <si>
    <t>Estado Automático</t>
  </si>
  <si>
    <t>% Avance</t>
  </si>
  <si>
    <t>Fecha Último Seguimiento</t>
  </si>
  <si>
    <t>Observaciones de Seguimiento</t>
  </si>
  <si>
    <t>Escalado a Dirección</t>
  </si>
  <si>
    <t>Fecha de Escalamiento</t>
  </si>
  <si>
    <t>Fecha Implementación Real</t>
  </si>
  <si>
    <t>Tipo de Validación</t>
  </si>
  <si>
    <t>Resultado de Validación</t>
  </si>
  <si>
    <t>Auditor que Valida</t>
  </si>
  <si>
    <t>Fecha Cierre Oficial</t>
  </si>
  <si>
    <t>Reincidencia</t>
  </si>
  <si>
    <t>Impacto Mitigado</t>
  </si>
  <si>
    <t>Comentarios de Cierre</t>
  </si>
  <si>
    <t>INDICADORES CLAVE</t>
  </si>
  <si>
    <t>% Hallazgos Cerrados</t>
  </si>
  <si>
    <t>% Hallazgos Vencidos</t>
  </si>
  <si>
    <t>Total Hallazgos</t>
  </si>
  <si>
    <t>Hallazgos Alto Riesgo</t>
  </si>
  <si>
    <t>Documental</t>
  </si>
  <si>
    <t>No eficaz</t>
  </si>
  <si>
    <t>Gestión Jurídica y normativa</t>
  </si>
  <si>
    <t>Jaime Sarmiento</t>
  </si>
  <si>
    <t>Alto</t>
  </si>
  <si>
    <t>Incumplimientos en los tiempos de generación de contratos.</t>
  </si>
  <si>
    <t xml:space="preserve">Jurídica tiene un tiempo de 5 días hábiles para atender la solicitud y a su vez el solicitante debe radicar la solicitud por lo menos 5 días antes de iniciar la prestación del servicio. </t>
  </si>
  <si>
    <t>1. Dificultad para exigir o probar las obligaciones pactadas. 
2. Cambios unilaterales, modificar condiciones.
3. Hechos cumplidos.</t>
  </si>
  <si>
    <t>Riesgos Asociados</t>
  </si>
  <si>
    <t xml:space="preserve">Incumplimiento al numeral 4 Condiciones generales del procedimiento Elaboración, revisión, aprobación y control de contratos con proveedores y convenios. </t>
  </si>
  <si>
    <t>Incumplimiento a los lineamientos establecidos en el procedimiento.
DE LA HERRAMIENTA
El proceso de firma de los contratos se efectúa a través de un one drive, ya que la herramienta SIA Admin. no cuenta con la funcionalidad para que sea allí donde se haga el proceso. Adicional la herramienta no tiene restricciones en caso de la falta de documentación o información, por ejemplo, solicitud sin aprobación del comité del gasto (literal c.) Anexo 1</t>
  </si>
  <si>
    <t xml:space="preserve">Incumplimiento a los lineamientos establecidos en el procedimiento.
4.1 DE SOLICITUD Y ELABORACIÓN
Cámara y comercio con más de 30 días (literal e.) Anexo 2
Las solicitudes se están haciendo con menos de 5 días de anterioridad al inicio del contrato, por lo tanto se están gestionando por parte del área jurídica, cuando estos ya han iniciado. (literal f.) Anexo 3 </t>
  </si>
  <si>
    <t xml:space="preserve">Incumplimiento a los lineamientos establecidos en el procedimiento.
4.2 DE REVISIÓN Y APROBACIÓN
Falta de aprobación en la herramienta al proceso por parte del Vicerrector y del jefe directo del solicitante, presentándose solicitudes de contrato en las que solo intervienen uno o dos usuarios( literal d.) Anexo 4
En la herramienta, las solicitudes no se están cerrando, y permanecen en diferentes etapas, lo que dificulta el seguimiento (literales i - j.) Anexo 4
Existen lineamientos para los convenios por descuento, pero no se encuentran formalizados, la comunicación ha sido verbal. Por ejemplo, todos los convenios son del 10% y no pueden superar 1 año de vigencia.
De las 61 solicitudes de contratos revisadas, 15 se encontraban pendientes de firma al 01/09/25. Anexo 5 </t>
  </si>
  <si>
    <t>1. Incumplimientos contractuales.
2. Comprometer recursos sin análisis presupuestal adecuado.
3. Contratar con proveedores inhabilitados o sin representación legal vigente.
4. Duplicidad de procesos, retrasos, afectación a la trazabilidad y falta de control centralizado.
5. Debilidad en la segregación de funciones.</t>
  </si>
  <si>
    <t xml:space="preserve">Libia Cabra / Ivonne Marin </t>
  </si>
  <si>
    <t xml:space="preserve">Desde el sistema no se cuenta con la trazabilidad del estudiante en las diferentes etapas, como son la admisión y matrícula, la auditoría y la revisión para grados, impidiendo un seguimiento eficaz.  </t>
  </si>
  <si>
    <t>Incumplimiento al numeral 5 del procedimiento de inscripción, admisión y matrícula por parte del asesor de matrícula que indica “efectuar la validación de la documentación suministrada por el aspirante en términos de calidad y completitud”.</t>
  </si>
  <si>
    <t>Excepción a través de un formato de compromiso para admitir y matricular al estudiante, lineamiento que no se encuentra formalizado y al cual no se le efectúa el seguimiento por parte de los asesores, para garantizar la completitud de la documentación.</t>
  </si>
  <si>
    <t xml:space="preserve">No se utiliza de manera adecuada los espacios brindados en el sistema FDI, así los documentos se encuentren con alguna deficiencia o pendientes de entrega, estos en el sistema los marcan como “aprobados”, impidiendo un adecuado seguimiento por parte de registro y control. </t>
  </si>
  <si>
    <t xml:space="preserve">Incumplimiento al procedimiento de “Auditoría de documentación e ingreso de estudiantes” ya que actualmente no se efectúa la validación como se encuentra definida en el documento.  </t>
  </si>
  <si>
    <t xml:space="preserve">Se tienen dos documentos que son el “diploma o acta título convenio” y el “soporte convenio empresarial” para los casos del SENA, adjuntan dos veces el mismo documento, que en este caso es el diploma. </t>
  </si>
  <si>
    <t>Incumplimiento del procedimiento de inscripción, admisión y matrícula</t>
  </si>
  <si>
    <t>Incumplimiento al procedimiento de “Auditoría de documentación e ingreso de estudiantes”</t>
  </si>
  <si>
    <t>Incumplimiento a los procedimientos de inscripción, admisión y matrícula y de Auditoría de documentación e ingreso de estudiantes.</t>
  </si>
  <si>
    <t>Medio</t>
  </si>
  <si>
    <t>Bajo</t>
  </si>
  <si>
    <t xml:space="preserve">Estudiantes próximos a graduarse que presentaron  documentación fraudulenta, o con documentación incompleta. </t>
  </si>
  <si>
    <t>Liquidación de comisiones FINCOMERCIO</t>
  </si>
  <si>
    <t>Auditoría</t>
  </si>
  <si>
    <t>Tiempos de contratos</t>
  </si>
  <si>
    <t>Validación de documentación de admisión</t>
  </si>
  <si>
    <t>Comisiones Huella Grancolombiana</t>
  </si>
  <si>
    <t xml:space="preserve">Pago de comisiones sobre matrículas que fueron financiadas a través de FINCOMERCIO. </t>
  </si>
  <si>
    <t>Soportes que no corresponden al trimestre de liquidación</t>
  </si>
  <si>
    <t xml:space="preserve">Se efectúa revisión de los soportes asociados al 1er trimestre de 2021. Encontrando soportes de noviembre y diciembre de 2020, junio 2022, septiembre 2021. Deben ser soportes de enero a marzo de 2021. </t>
  </si>
  <si>
    <t xml:space="preserve">Pagos de comisiones al equipo de huella que no corresponden a convenios de responsabilidad social. </t>
  </si>
  <si>
    <t>Metas sobre estimadas, poco realistas o inconsistentes</t>
  </si>
  <si>
    <t>Desde la implementación del esquema comisional en 2020, se evidencia solo un cumplimiento del 100% y para los demás periodos fue de sobrecumplimiento, teniendo uno del 427% y un promedio del 203%</t>
  </si>
  <si>
    <t xml:space="preserve">Pérdidas de recursos, por pagos de comisiones elevadas, afectación del factor salarial, liquidaciones entre otros. </t>
  </si>
  <si>
    <t>Una matrícula considerada para dos pagos de comisión</t>
  </si>
  <si>
    <t xml:space="preserve">Se evidenció que para la liquidación de la comisión se consideró un mismo estudiante tanto para el asesor del equipo comercial como para el personal de huella. </t>
  </si>
  <si>
    <t>Falta de evidencia respecto a la fuente de información para liquidación de las comisiones</t>
  </si>
  <si>
    <t>En los correos enviados por Diana Alvarez - coordinadora del programa de becas y recaudación de fondos en su momento, informa que no se remitían los soportes “dado que es un gran volumen”. La información enviada eran cuadros con valores y la distribución de las comisiones</t>
  </si>
  <si>
    <t>Pérdidas de recursos por dobles pagos de comisiones</t>
  </si>
  <si>
    <t xml:space="preserve">Errores en los cálculos de la liquidación de las comisiones </t>
  </si>
  <si>
    <t>Falta de controles por parte de las diferentes áreas y personas que intervienen en el proceso</t>
  </si>
  <si>
    <t xml:space="preserve">Falta de validación de la fuente de información desde la dirección de administración laboral y compensación a las liquidaciones de huella grancolombiana. Adicional, los jefes directos realizaban las aprobaciones, pero no se evidencia las revisiones. </t>
  </si>
  <si>
    <t>Criticidad</t>
  </si>
  <si>
    <t>Contratos B2G</t>
  </si>
  <si>
    <t>John Jaime Marin</t>
  </si>
  <si>
    <t>Pendientes actas de liquidación</t>
  </si>
  <si>
    <t xml:space="preserve">Se encuentran pendientes 26 actas de cierre o liquidación de  proyectos, desde 2022. </t>
  </si>
  <si>
    <t xml:space="preserve">Posibles reclamaciones o solicitudes de entregables que las entidades indiquen como pendientes. </t>
  </si>
  <si>
    <t>Auto delegación manejo de recursos</t>
  </si>
  <si>
    <t>En la documentación del proyecto de la Secretaría de Educación del Distrito, se encuentra carta de delegación de recursos sin fecha y firmada por John Jaime Marín</t>
  </si>
  <si>
    <t>Inadecuada segregación de funciones.</t>
  </si>
  <si>
    <t>La organización no ha identificado todos los aspectos ambientales asociados a sus actividades, productos y servicios, que puede controlar o influenciar</t>
  </si>
  <si>
    <t>ISO 14001:2015
6.1.2</t>
  </si>
  <si>
    <t>Evidencia</t>
  </si>
  <si>
    <t>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t>
  </si>
  <si>
    <t>SIG</t>
  </si>
  <si>
    <t>Edgar Camilo Chacón</t>
  </si>
  <si>
    <t>ISO 45001:2018
8.1</t>
  </si>
  <si>
    <t>La organización no ha implementado controles operacionales adecuados para asegurar el manejo seguro de productos químicos.</t>
  </si>
  <si>
    <t>Evidencia:
Durante la visita al taller de cerámica, se evidenciaron las siguientes situaciones:
•Las hojas de seguridad (MSDS) de los productos químicos utilizados se encuentran desactualizadas, con fechas superiores a 5 años: “Este documento es propiedad intelectual del POLITECNICO GRANCOLOMBIANO, se prohíbe su reproducción total o
parcial sin la autorización escrita de la Rectoría. TODO DOCUMENTO IMPRESO O DESCARGADO DEL SISTEMA, ES
CONSIDERADO COPIA NO CONTROLADA”.
-Caolín: hoja del año 2017
-Silicato de aluminio: hoja del año 2006
•No se cuenta con un inventario de productos químicos, lo que impide conocer el tipo, cantidad y estado de los insumos utilizados, ni aplicar controles adecuados según su peligrosidad.</t>
  </si>
  <si>
    <t>Alejandro Cardenas</t>
  </si>
  <si>
    <t>ISO 45001:2018
8.1.4.3
ISO 9001:2015
8.4.3</t>
  </si>
  <si>
    <t>La organización no ha asegurado que los servicios contratados que puedan afectar la seguridad y salud en el trabajo se controlen de manera adecuada.</t>
  </si>
  <si>
    <t>Durante la visita de auditoría a la cafetería ubicada en el piso 7 de la sede City Campus, operada por el contratista Freshko, se evidenciaron las siguientes desviaciones:
• Producto procesado el día anterior para perros calientes sin rotulación, lo cual impide su adecuada identificación y control.
• Pulpa de fruta porcionada con rótulo vencido (21-06-2025), lo cual representa una condición insegura en la manipulación y consumo de alimentos.
• Almacenamiento de productos químicos sin cumplir parámetros de compatibilidad, específicamente Detergill (desengrasante) e hipoclorito de sodio, dispuestos juntos sin las separaciones adecuadas, lo cual representa un riesgo químico por posible reacción peligrosa.
• No se evidencia los criterios documentados de supervisión de proveedores tercerizados, para el caso del servicio de limpieza de Casa limpia.</t>
  </si>
  <si>
    <t>ISO 14001:2015 e ISO 45001:2018</t>
  </si>
  <si>
    <t>La organización no ha asegurado un control eficaz para que la información documentada requerida esté disponible, actualizada, identificada y protegida contra el uso de versiones obsoletas.</t>
  </si>
  <si>
    <t>En la enfermería del campus, se encontró una copia impresa del Plan de Manejo de Residuos GMPG1, versión 8, mientras que en el sistema oficial de gestión documental (Kawak) la versión vigente es la 10, lo que evidencia uso potencial de información desactualizada.
El Análisis de Vulnerabilidad y el Procedimiento de Evacuación revisados no presentan fecha de elaboración ni revisión visible, impidiendo verificar su vigencia, aplicabilidad y alineación con los requerimientos actuales del sistema.</t>
  </si>
  <si>
    <t>ISO 45001:2018
8.1.2</t>
  </si>
  <si>
    <t>La organización no ha asegurado la implementación de controles ergonómicos recomendados para la eliminación de peligros y la reducción de riesgos en el puesto de trabajo.</t>
  </si>
  <si>
    <t>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t>
  </si>
  <si>
    <t>ISO 45001-2018
6.1.2. 1 b)1) 6.1.4 b) 2)</t>
  </si>
  <si>
    <t>La organización no ha identificado los peligros relacionados con infraestructura, equipos del lugar de trabajo.</t>
  </si>
  <si>
    <t>En la Matriz de Peligros y Evaluación de Riesgos de la Escuela de Diseño Industrial, con fecha 14 de julio, se evidenció que:
En el taller de cerámica, no se identificaron los peligros asociados al uso del horno ni a herramientas cortopunzantes.
En el taller de madera, no se consideraron los peligros derivados del uso de herramientas manuales (taladro, pulidora, entre otros).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
Sede Medellín
Verificado el gabinete contraincendios, del cuarto piso, se identifica el extintor despresurizado.</t>
  </si>
  <si>
    <t>SGA</t>
  </si>
  <si>
    <t>SST / SGA</t>
  </si>
  <si>
    <t>SST</t>
  </si>
  <si>
    <t>SGA / SST</t>
  </si>
  <si>
    <t>ICONTEC</t>
  </si>
  <si>
    <t>La organización no aborda los riesgos identificados.</t>
  </si>
  <si>
    <t xml:space="preserve">ISO 9001:2015. 
ISO 14001:2015. 
ISO 45001:2018.
6.3 
8.1 segundo párrafo. 
8.1.3 primer párrafo.  </t>
  </si>
  <si>
    <t>La organización no lleva a cabo los cambios de manera planificada.</t>
  </si>
  <si>
    <t>No se llevó a cabo la planificación del cambio para el reforzamiento estructural del edificio C de la sede Campus.</t>
  </si>
  <si>
    <t>SGA / SGA / SST</t>
  </si>
  <si>
    <t>Acciones / Actividades</t>
  </si>
  <si>
    <r>
      <t xml:space="preserve">Se adquiere la herramienta </t>
    </r>
    <r>
      <rPr>
        <b/>
        <sz val="10"/>
        <color rgb="FF002060"/>
        <rFont val="Century Gothic"/>
        <family val="2"/>
      </rPr>
      <t>Webdox</t>
    </r>
    <r>
      <rPr>
        <sz val="10"/>
        <color rgb="FF002060"/>
        <rFont val="Century Gothic"/>
        <family val="2"/>
      </rPr>
      <t xml:space="preserve"> que actualmente se encuentra en pruebas para salir a producción a partir del 01/03/26. </t>
    </r>
  </si>
  <si>
    <t>Actualización del procedimiento, ajustandolo a la implementación de la herramienta y a los tiempos que tarde la revisión.</t>
  </si>
  <si>
    <t xml:space="preserve">Se adquiere la herramienta Webdox que actualmente se encuentra en pruebas para salir a producción a partir del 01/03/26. </t>
  </si>
  <si>
    <t>Se adquiere la herramienta Webdox que actualmente se encuentra en pruebas para salir a producción a partir del 01/03/26.</t>
  </si>
  <si>
    <t>Se espera en el mes de abril o mayo efectuar seguimiento para evidenciar el funcionamiento y beneficios de la implementación de la herramienta, teniendo en cuenta además la actualización del procedimiento y avance de las capacitaciones a los colaboradores correspondientes</t>
  </si>
  <si>
    <t xml:space="preserve">Juan Carlos Rivera </t>
  </si>
  <si>
    <t>ISO 9001:2015 
Requisito 8.4.3 e)</t>
  </si>
  <si>
    <t>La organización no comunica a los proveedores externos el seguimiento al desempeño.</t>
  </si>
  <si>
    <t>Para el proveedor Convías no se comunicó el resultado de la evaluación de desempeño realizada en junio de 2025.</t>
  </si>
  <si>
    <t>ISO 9001:2015. ISO 14001:2015.
4.4 f). 8.1 primer párrafo.</t>
  </si>
  <si>
    <t>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t>
  </si>
  <si>
    <t>SGC</t>
  </si>
  <si>
    <t>SGC / SGA</t>
  </si>
  <si>
    <t>ISO 14001:2015. ISO 45001:2015.
8.1 a). 8.1.1 b).</t>
  </si>
  <si>
    <t>La organización no implementa el control de los procesos de acuerdo con los criterios.</t>
  </si>
  <si>
    <t>Se evidencia hoja de seguridad vencida para el almacenamiento de ACPM en la planta de respaldo de City Campus.Durante el recorrido realizado en la sede City Campus se evidencian dos contenedores con sustancia de color oscuro desconocida y sin el etiquetado correspondiente, derivada de las actividades de mantenimiento de la planta de tratamiento de aguas lluvia.</t>
  </si>
  <si>
    <t xml:space="preserve">ISO 14001:2015.
6.1.2
</t>
  </si>
  <si>
    <t>La organización no identifica aspectos ambientales desde una perspectiva de ciclo de vida.</t>
  </si>
  <si>
    <t>En la matriz de aspectos ambientales de 2025 no se evidencia la identificación de aspectos para las fases de diseño y cierre del programa académico de acuerdo con lo establecido en el manual del SIGSIS.</t>
  </si>
  <si>
    <t>Edgar Camilo Chacón / Camilo Coronel</t>
  </si>
  <si>
    <t>Edgar Camilo Chacón / Alejandro Cardenas</t>
  </si>
  <si>
    <t>Camilo Coronel</t>
  </si>
  <si>
    <t>Camilo Coronel / Edgar Camilo Chacón</t>
  </si>
  <si>
    <t>Camilo Coronel / Edgar Camilo Chacón / Alejandro Cardenas</t>
  </si>
  <si>
    <t>Avance</t>
  </si>
  <si>
    <t>Cumplimiento Ley 1581</t>
  </si>
  <si>
    <t>Cumplimiento Ley 2300</t>
  </si>
  <si>
    <t>Política y procedimientos</t>
  </si>
  <si>
    <t>Política de Tratamiento de Datos Personales desactualizada y falta de procedimientos para garantizar el adecuado cumplimiento de la ley. Ley 1581/2012 Art. 17 lit. k -; Decreto1377/2013 Arts. 4, 26; y 27 Decreto1074/2015 Art. 2.2.2.25.3.1</t>
  </si>
  <si>
    <t>Llamadas de Cobranza</t>
  </si>
  <si>
    <t>Ausencia de evidencia objetiva del contenido de las llamadas de cobranza.  Art. 3, 4 y 9</t>
  </si>
  <si>
    <t>Registro de números excluidos (RNE)</t>
  </si>
  <si>
    <t>Se identifican brechas con respecto a la Consulta del Registro de números excluidos, en la plataforma administrada por Comisión de Regulación de comunicaciones (CRC), en unos procesos y actividades específicas. Ley 2300/2023 Art. 2; Decreto 1377/2013 Art. 9</t>
  </si>
  <si>
    <t>Fecha de Cierre</t>
  </si>
  <si>
    <t>No se encuentra una autorización de tratamiento de Datos personales por parte del representante legal de los menores de edad. En el período 20261 ingresaron 1.558 menores de edad entre los 15 y 17 años de edad.</t>
  </si>
  <si>
    <t>Falta de lineamientos para el tratamiento de datos de menores de edad.  Ley 1581/2012 Art. 7; Decreto 1377/2013 Art. 12.</t>
  </si>
  <si>
    <t xml:space="preserve">Actualmente los procesos auditados descargan información que contiene datos privados, bases de que no se encuentran identificadas a nivel institucional, en la ley se describe como el tratamiento la recolección, almacenamiento, uso, circulación y supresión. </t>
  </si>
  <si>
    <t>Control Descargas de Bases de Datos. Ley 1581 de 2012 – Arts. 4 lit. f, 17 lit. d; y 25; Decreto 886 de 2014.</t>
  </si>
  <si>
    <t xml:space="preserve">Contrato con Waysalud pendiente de firma (datos sensibles de salud sin respaldo contractual vigente) y aviso de privacidad de salud no validado por Jurídica. </t>
  </si>
  <si>
    <t>Hecho Cumplido
Ley 1581/2012 Arts. 3, 5, 6 (datos sensibles); Decreto 1377/2013 Art. 3</t>
  </si>
  <si>
    <t>Subproceso</t>
  </si>
  <si>
    <t>Proceso</t>
  </si>
  <si>
    <t>Mercadeo, admisiones y matrícula</t>
  </si>
  <si>
    <t>Extensión</t>
  </si>
  <si>
    <t>Inscripción, admisión y matrícula de estudiantes nuevos</t>
  </si>
  <si>
    <t xml:space="preserve">Gestión de la responsabilidad social </t>
  </si>
  <si>
    <t>Mercadeo y venta de educación para la vida</t>
  </si>
  <si>
    <t>Sistemas de gestión Integrados</t>
  </si>
  <si>
    <t>Sistema de gestión ambiental</t>
  </si>
  <si>
    <t>Sistema de gestión de calidad</t>
  </si>
  <si>
    <t>Sistema de Gestión de Seguridad y Salud en el Trabajo</t>
  </si>
  <si>
    <t>HSIG-1</t>
  </si>
  <si>
    <t>HSIG-2</t>
  </si>
  <si>
    <t>HSIG-3</t>
  </si>
  <si>
    <t>HSIG-4</t>
  </si>
  <si>
    <t>HSIG-5</t>
  </si>
  <si>
    <t>HSIG-6</t>
  </si>
  <si>
    <t>HSIG-7</t>
  </si>
  <si>
    <t>HSIG-8</t>
  </si>
  <si>
    <t>HSIG-9</t>
  </si>
  <si>
    <t>HSIG-10</t>
  </si>
  <si>
    <t>HSIG-11</t>
  </si>
  <si>
    <t>HASEG-1</t>
  </si>
  <si>
    <t>HASEG-2</t>
  </si>
  <si>
    <t>HASEG-3</t>
  </si>
  <si>
    <t>HASEG-4</t>
  </si>
  <si>
    <t>HASEG-5</t>
  </si>
  <si>
    <t>HASEG-6</t>
  </si>
  <si>
    <t>HASEG-7</t>
  </si>
  <si>
    <t>HASEG-8</t>
  </si>
  <si>
    <t>HASEG-9</t>
  </si>
  <si>
    <t>HASEG-10</t>
  </si>
  <si>
    <t>HASEG-11</t>
  </si>
  <si>
    <t>HASEG-12</t>
  </si>
  <si>
    <t>HASEG-13</t>
  </si>
  <si>
    <t>HASEG-14</t>
  </si>
  <si>
    <t>HASEG-15</t>
  </si>
  <si>
    <t>HASEG-16</t>
  </si>
  <si>
    <t>HASEG-17</t>
  </si>
  <si>
    <t>HASEG-18</t>
  </si>
  <si>
    <t>HASEG-19</t>
  </si>
  <si>
    <t>HASEG-20</t>
  </si>
  <si>
    <t>HASEG-21</t>
  </si>
  <si>
    <t>HASEG-22</t>
  </si>
  <si>
    <t>HASEG-23</t>
  </si>
  <si>
    <t>HASEG-24</t>
  </si>
  <si>
    <t>Acción de Mejora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</si>
</sst>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name val="Calibri"/>
      <family val="2"/>
    </font>
    <font>
      <sz val="11"/>
      <color rgb="FF002060"/>
      <name val="Century Gothic"/>
      <family val="2"/>
    </font>
    <font>
      <b/>
      <sz val="12"/>
      <color theme="0"/>
      <name val="Century Gothic"/>
      <family val="2"/>
    </font>
    <font>
      <sz val="10"/>
      <color rgb="FF002060"/>
      <name val="Century Gothic"/>
      <family val="2"/>
    </font>
    <font>
      <b/>
      <sz val="10"/>
      <color rgb="FF002060"/>
      <name val="Century Gothic"/>
      <family val="2"/>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1" fillId="0" borderId="0" xfId="0" applyFont="1"/>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7" fontId="4" fillId="2" borderId="1" xfId="0" applyNumberFormat="1" applyFont="1" applyFill="1" applyBorder="1" applyAlignment="1">
      <alignment horizontal="center" vertical="center" wrapText="1"/>
    </xf>
    <xf numFmtId="0" fontId="4" fillId="2" borderId="0" xfId="0" applyFont="1" applyFill="1" applyAlignment="1">
      <alignment horizontal="center" vertical="center" wrapText="1"/>
    </xf>
    <xf numFmtId="0" fontId="2" fillId="2" borderId="0" xfId="0" applyFont="1" applyFill="1" applyAlignment="1">
      <alignment wrapText="1"/>
    </xf>
    <xf numFmtId="0" fontId="3" fillId="3" borderId="0" xfId="0" applyFont="1" applyFill="1" applyAlignment="1">
      <alignment horizontal="center" vertical="center" wrapText="1"/>
    </xf>
    <xf numFmtId="0" fontId="4" fillId="2" borderId="0" xfId="0" applyFont="1" applyFill="1" applyAlignment="1">
      <alignment vertical="center" wrapText="1"/>
    </xf>
    <xf numFmtId="0" fontId="2" fillId="2" borderId="0" xfId="0" applyFont="1" applyFill="1" applyAlignment="1">
      <alignment horizontal="center" wrapText="1"/>
    </xf>
    <xf numFmtId="0" fontId="0" fillId="2" borderId="0" xfId="0" applyFill="1"/>
    <xf numFmtId="9" fontId="4" fillId="2" borderId="1" xfId="0" applyNumberFormat="1"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9" fontId="0" fillId="2" borderId="0" xfId="0" applyNumberFormat="1" applyFill="1"/>
    <xf numFmtId="0" fontId="4" fillId="0" borderId="1" xfId="0" applyFont="1" applyBorder="1" applyAlignment="1">
      <alignment horizontal="center" vertical="center" wrapText="1"/>
    </xf>
    <xf numFmtId="17" fontId="4"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17" fontId="4" fillId="2" borderId="2" xfId="0" applyNumberFormat="1" applyFont="1" applyFill="1" applyBorder="1" applyAlignment="1">
      <alignment vertical="center" wrapText="1"/>
    </xf>
    <xf numFmtId="0" fontId="4" fillId="2" borderId="2" xfId="0" applyFont="1" applyFill="1" applyBorder="1" applyAlignment="1">
      <alignment vertical="center" wrapText="1"/>
    </xf>
    <xf numFmtId="0" fontId="4"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3" fillId="3"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vertical="center" wrapText="1"/>
    </xf>
    <xf numFmtId="0" fontId="4" fillId="0" borderId="5" xfId="0" applyFont="1" applyBorder="1" applyAlignment="1">
      <alignment horizontal="center" vertical="center" wrapText="1"/>
    </xf>
    <xf numFmtId="17" fontId="4" fillId="2" borderId="2" xfId="0" applyNumberFormat="1" applyFont="1" applyFill="1" applyBorder="1" applyAlignment="1">
      <alignment horizontal="center" vertical="center" wrapText="1"/>
    </xf>
    <xf numFmtId="0" fontId="4" fillId="2" borderId="6" xfId="0" applyFont="1" applyFill="1" applyBorder="1" applyAlignment="1">
      <alignment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10" fontId="4" fillId="2" borderId="2" xfId="0" applyNumberFormat="1" applyFont="1" applyFill="1" applyBorder="1" applyAlignment="1">
      <alignment horizontal="center" vertical="center" wrapText="1"/>
    </xf>
  </cellXfs>
  <cellStyles count="1">
    <cellStyle name="Normal" xfId="0" builtinId="0"/>
  </cellStyles>
  <dxfs count="73">
    <dxf>
      <fill>
        <patternFill>
          <bgColor rgb="FFFF0000"/>
        </patternFill>
      </fill>
    </dxf>
    <dxf>
      <fill>
        <patternFill>
          <bgColor rgb="FFFFC000"/>
        </patternFill>
      </fill>
    </dxf>
    <dxf>
      <fill>
        <patternFill>
          <bgColor rgb="FF92D050"/>
        </patternFill>
      </fill>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numFmt numFmtId="14" formatCode="0.0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numFmt numFmtId="22" formatCode="mmm\-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2"/>
        <color theme="0"/>
        <name val="Century Gothic"/>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numFmt numFmtId="22" formatCode="mmm\-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2060"/>
        <name val="Century Gothic"/>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0"/>
        <color rgb="FF002060"/>
        <name val="Century Gothic"/>
        <family val="2"/>
        <scheme val="none"/>
      </font>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2"/>
        <color theme="0"/>
        <name val="Century Gothic"/>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Invisible" pivot="0" table="0" count="0" xr9:uid="{807F978E-0166-4674-A7F2-10D8FC7F1D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A7D11D-A526-4CEA-9DF8-80ED50D1CBD9}" name="Tabla3" displayName="Tabla3" ref="A1:AG13" totalsRowShown="0" headerRowDxfId="38" dataDxfId="37" tableBorderDxfId="36">
  <tableColumns count="33">
    <tableColumn id="1" xr3:uid="{38023AA5-9776-4E80-A951-BE0FE68F1101}" name="Código Hallazgo" dataDxfId="35"/>
    <tableColumn id="2" xr3:uid="{883B5642-97A6-4B67-A91F-312BB25E116A}" name="Fecha de Detección" dataDxfId="34"/>
    <tableColumn id="3" xr3:uid="{C0E29A75-6D52-44C1-BBC8-1D0D9854730F}" name="Auditoría" dataDxfId="33"/>
    <tableColumn id="4" xr3:uid="{F8A3A88E-425E-4914-B771-61B543B87499}" name="Proceso" dataDxfId="32"/>
    <tableColumn id="5" xr3:uid="{4115E30F-D80C-45FD-BBCE-3C3D007A45F0}" name="Subproceso" dataDxfId="31"/>
    <tableColumn id="6" xr3:uid="{D5E799E7-238C-4410-8180-2F23404C38C5}" name="Responsable del Proceso" dataDxfId="30"/>
    <tableColumn id="7" xr3:uid="{EF5F4C2C-D1C7-44F0-A107-641607336071}" name="Criterio Incumplido" dataDxfId="29"/>
    <tableColumn id="8" xr3:uid="{F98540B2-06C0-4AB3-A036-DA30F86A9127}" name="Descripción del Hallazgo" dataDxfId="28"/>
    <tableColumn id="9" xr3:uid="{7488B0F2-484A-4D7A-806A-B20AD5A4B44B}" name="Evidencia" dataDxfId="27"/>
    <tableColumn id="10" xr3:uid="{3046F0F7-5132-4A53-A672-1A0D51F6FD90}" name="Causa Raíz" dataDxfId="26"/>
    <tableColumn id="11" xr3:uid="{51F65AE4-A931-4F03-9144-11BB7E1BA7EC}" name="Riesgos Asociados" dataDxfId="25"/>
    <tableColumn id="12" xr3:uid="{DEAD9D0A-B936-416F-A091-B28F8DC890CA}" name="Tipo de Acción" dataDxfId="24"/>
    <tableColumn id="13" xr3:uid="{8C244D88-600C-4C82-BC90-B9A59CFC691C}" name="Acción Correctiva" dataDxfId="23"/>
    <tableColumn id="14" xr3:uid="{DE25F41D-7D67-47E8-BB59-37A2E153EEB2}" name="Avance" dataDxfId="22"/>
    <tableColumn id="15" xr3:uid="{97EE2963-728C-4A52-A616-D5ABCB743209}" name="Responsable de la Acción" dataDxfId="21"/>
    <tableColumn id="16" xr3:uid="{093911F5-09A4-453E-8292-E386A79C9C1D}" name="Área Responsable" dataDxfId="20"/>
    <tableColumn id="17" xr3:uid="{DD857392-716E-4350-AE9B-2A43A13A5903}" name="Fecha Compromiso" dataDxfId="19"/>
    <tableColumn id="18" xr3:uid="{1F28FB8B-3090-4702-AC1B-D1B5EA0CA13F}" name="Evidencia Esperada" dataDxfId="18"/>
    <tableColumn id="19" xr3:uid="{D64795B7-F5AF-4717-BF92-0B8A45C7B89C}" name="Indicador de Cumplimiento" dataDxfId="17"/>
    <tableColumn id="20" xr3:uid="{9280B508-D669-4CE9-A7D9-2F6D29B1724B}" name="Estado Automático" dataDxfId="16"/>
    <tableColumn id="21" xr3:uid="{A6E3D81D-F7AE-4126-BAC2-068953DF2A77}" name="% Avance" dataDxfId="15"/>
    <tableColumn id="22" xr3:uid="{83E6ABB0-426C-477B-901F-15705ACCE8EA}" name="Fecha Último Seguimiento" dataDxfId="14"/>
    <tableColumn id="23" xr3:uid="{F01F5465-D84D-4303-B442-EEF87F5FE407}" name="Observaciones de Seguimiento" dataDxfId="13"/>
    <tableColumn id="24" xr3:uid="{FD269743-574B-4863-B455-390ACA96A5DE}" name="Escalado a Dirección" dataDxfId="12"/>
    <tableColumn id="25" xr3:uid="{2E7ACEE0-5BD8-4436-B3AE-0157D22A3C8B}" name="Fecha de Escalamiento" dataDxfId="11"/>
    <tableColumn id="26" xr3:uid="{61668FD7-E523-4D93-8EF7-63F3BCC15C61}" name="Fecha Implementación Real" dataDxfId="10"/>
    <tableColumn id="27" xr3:uid="{40ABE0DD-161B-40D2-BC22-91747FB660E9}" name="Tipo de Validación" dataDxfId="9"/>
    <tableColumn id="28" xr3:uid="{63735BCB-A0AD-4E66-B6EF-82CD0E5C8017}" name="Resultado de Validación" dataDxfId="8"/>
    <tableColumn id="29" xr3:uid="{D137839B-0857-4CB3-B34D-0F30B28A8620}" name="Auditor que Valida" dataDxfId="7"/>
    <tableColumn id="30" xr3:uid="{31624A5B-76AA-4C9E-8DF7-1BE589EC1D2B}" name="Fecha Cierre Oficial" dataDxfId="6"/>
    <tableColumn id="31" xr3:uid="{21402088-000E-4EE6-B3CF-1172741519CA}" name="Reincidencia" dataDxfId="5"/>
    <tableColumn id="32" xr3:uid="{7D71CFD1-9D53-4496-A1F8-E2B7ED050B67}" name="Impacto Mitigado" dataDxfId="4"/>
    <tableColumn id="33" xr3:uid="{30C54FB7-6AE1-410A-B899-BC22AC520A10}" name="Comentarios de Cierre" dataDxfId="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FB0005-8F63-4CE1-938E-B216418660F6}" name="Tabla1" displayName="Tabla1" ref="A1:AE25" totalsRowShown="0" headerRowDxfId="72" dataDxfId="71" tableBorderDxfId="70">
  <autoFilter ref="A1:AE25" xr:uid="{22FB0005-8F63-4CE1-938E-B216418660F6}"/>
  <tableColumns count="31">
    <tableColumn id="1" xr3:uid="{C445E1C6-F781-4A05-A8DB-BB9CC1F5A338}" name="Código Hallazgo" dataDxfId="69"/>
    <tableColumn id="2" xr3:uid="{90EAE778-D38B-49EF-B34D-315F9A7A5A27}" name="Fecha de Cierre" dataDxfId="68"/>
    <tableColumn id="3" xr3:uid="{C0D5052E-084A-4422-8247-58D55C619725}" name="Auditoría" dataDxfId="67"/>
    <tableColumn id="4" xr3:uid="{5D3256A2-BA02-44EC-95EB-2C06CE880405}" name="Proceso" dataDxfId="66"/>
    <tableColumn id="5" xr3:uid="{893633F6-D257-4D10-8927-3D3A728B911A}" name="Subproceso" dataDxfId="65"/>
    <tableColumn id="6" xr3:uid="{1ACBDFC4-A8D2-4E4E-B0A8-F320C769D36F}" name="Responsable del Proceso" dataDxfId="64"/>
    <tableColumn id="7" xr3:uid="{458512AC-6A36-47C9-AC84-D62D31450CAA}" name="Criticidad" dataDxfId="63"/>
    <tableColumn id="8" xr3:uid="{F2E3079A-A9A6-49A5-A02F-AF83100B696B}" name="Criterio Incumplido" dataDxfId="62"/>
    <tableColumn id="9" xr3:uid="{42F33B5C-BC64-4551-83E2-5C33C69EC227}" name="Descripción del Hallazgo" dataDxfId="61"/>
    <tableColumn id="10" xr3:uid="{9CF403EB-8414-4F4C-B74F-0679F4979A1C}" name="Riesgos Asociados" dataDxfId="60"/>
    <tableColumn id="11" xr3:uid="{F4506974-B5EF-4B33-A978-8D4F503123A7}" name="Tipo de Acción" dataDxfId="59"/>
    <tableColumn id="12" xr3:uid="{2A3BC71B-97A7-4F6A-A427-E20FA980B65F}" name="Acciones / Actividades" dataDxfId="58"/>
    <tableColumn id="13" xr3:uid="{2CDD1D9D-33E2-44C4-94C7-280236B55BA8}" name="Responsable de la Acción" dataDxfId="57"/>
    <tableColumn id="14" xr3:uid="{29E6C5DC-7EA4-49BD-9F29-57DA71718F20}" name="Área Responsable" dataDxfId="56"/>
    <tableColumn id="15" xr3:uid="{2B6D1608-654F-4177-832E-561B75E0AA26}" name="Fecha Compromiso" dataDxfId="55"/>
    <tableColumn id="16" xr3:uid="{1ED50EB0-1860-4E22-9EF1-F93210496EDD}" name="Evidencia Esperada" dataDxfId="54"/>
    <tableColumn id="17" xr3:uid="{8F0EB8AC-437B-4325-8ABA-666909D9B5F8}" name="Indicador de Cumplimiento" dataDxfId="53"/>
    <tableColumn id="18" xr3:uid="{C7EEC45E-ECAD-4B56-93C0-4B5AE924CD8E}" name="Estado Automático" dataDxfId="52"/>
    <tableColumn id="19" xr3:uid="{2722D635-9314-4F49-B035-B9A724C5210A}" name="% Avance" dataDxfId="51"/>
    <tableColumn id="20" xr3:uid="{28A730BA-4EA7-49DF-9399-6E00D5292AB2}" name="Fecha Último Seguimiento" dataDxfId="50"/>
    <tableColumn id="21" xr3:uid="{F70EE4EC-D6C1-4265-B078-19D148BC2906}" name="Observaciones de Seguimiento" dataDxfId="49"/>
    <tableColumn id="22" xr3:uid="{C964C47F-52C9-426B-B6E5-974094EDB9DE}" name="Escalado a Dirección" dataDxfId="48"/>
    <tableColumn id="23" xr3:uid="{36A8271D-7EA2-487A-A00A-D3AD91C530B1}" name="Fecha de Escalamiento" dataDxfId="47"/>
    <tableColumn id="24" xr3:uid="{AB72CFF0-E4FD-4906-9E3E-23B7E97C9D47}" name="Fecha Implementación Real" dataDxfId="46"/>
    <tableColumn id="25" xr3:uid="{2E3BE42A-F44C-4E50-AF37-498FDB63B8C9}" name="Tipo de Validación" dataDxfId="45"/>
    <tableColumn id="26" xr3:uid="{F12F1141-56CD-411F-8B57-54F18AE19AB1}" name="Resultado de Validación" dataDxfId="44"/>
    <tableColumn id="27" xr3:uid="{B53A8C3D-2477-4D08-BBF6-39ED220F441F}" name="Auditor que Valida" dataDxfId="43"/>
    <tableColumn id="28" xr3:uid="{02AE6B85-C8E3-458F-99DE-6C3A7C997538}" name="Fecha Cierre Oficial" dataDxfId="42"/>
    <tableColumn id="29" xr3:uid="{0280F784-8789-4BD2-8B63-2885D043177E}" name="Reincidencia" dataDxfId="41"/>
    <tableColumn id="30" xr3:uid="{B33911EB-ED81-48C2-8376-B92BC2D7744C}" name="Impacto Mitigado" dataDxfId="40"/>
    <tableColumn id="31" xr3:uid="{8ACAEBDD-C331-4809-91C4-834E371130EB}" name="Comentarios de Cierre" dataDxfId="3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92B3-42C8-4F5F-876D-A137B68C9789}">
  <dimension ref="A1:AG13"/>
  <sheetViews>
    <sheetView tabSelected="1" topLeftCell="Y1" zoomScale="80" zoomScaleNormal="80" workbookViewId="0">
      <pane ySplit="1" topLeftCell="A2" activePane="bottomLeft" state="frozen"/>
      <selection pane="bottomLeft" activeCell="AI1" sqref="AI1"/>
    </sheetView>
  </sheetViews>
  <sheetFormatPr baseColWidth="10" defaultColWidth="8.77734375" defaultRowHeight="14.4" x14ac:dyDescent="0.3"/>
  <cols>
    <col min="1" max="1" width="21.109375" style="8" customWidth="1"/>
    <col min="2" max="2" width="24.77734375" style="8" customWidth="1"/>
    <col min="3" max="3" width="16.88671875" style="11" customWidth="1"/>
    <col min="4" max="4" width="14.88671875" style="8" customWidth="1"/>
    <col min="5" max="5" width="15.5546875" style="8" customWidth="1"/>
    <col min="6" max="6" width="29.44140625" style="8" customWidth="1"/>
    <col min="7" max="7" width="23.44140625" style="8" customWidth="1"/>
    <col min="8" max="8" width="29.77734375" style="8" customWidth="1"/>
    <col min="9" max="9" width="64.33203125" style="12" customWidth="1"/>
    <col min="10" max="10" width="22" style="8" customWidth="1"/>
    <col min="11" max="11" width="47.33203125" style="8" customWidth="1"/>
    <col min="12" max="12" width="22" style="8" customWidth="1"/>
    <col min="13" max="13" width="22.33203125" style="11" customWidth="1"/>
    <col min="14" max="14" width="22" style="11" customWidth="1"/>
    <col min="15" max="15" width="31" style="8" customWidth="1"/>
    <col min="16" max="16" width="22.33203125" style="8" customWidth="1"/>
    <col min="17" max="17" width="24.21875" style="8" customWidth="1"/>
    <col min="18" max="18" width="24.33203125" style="8" customWidth="1"/>
    <col min="19" max="19" width="32.88671875" style="8" customWidth="1"/>
    <col min="20" max="20" width="23.109375" style="8" customWidth="1"/>
    <col min="21" max="21" width="22" style="8" customWidth="1"/>
    <col min="22" max="22" width="31" style="8" customWidth="1"/>
    <col min="23" max="23" width="36.44140625" style="8" customWidth="1"/>
    <col min="24" max="24" width="25.6640625" style="8" customWidth="1"/>
    <col min="25" max="25" width="28.21875" style="8" customWidth="1"/>
    <col min="26" max="26" width="33.6640625" style="8" customWidth="1"/>
    <col min="27" max="27" width="23.33203125" style="8" customWidth="1"/>
    <col min="28" max="28" width="29.33203125" style="8" customWidth="1"/>
    <col min="29" max="29" width="23.33203125" style="8" customWidth="1"/>
    <col min="30" max="30" width="24.21875" style="8" customWidth="1"/>
    <col min="31" max="31" width="22" style="8" customWidth="1"/>
    <col min="32" max="32" width="22.21875" style="8" customWidth="1"/>
    <col min="33" max="33" width="27" style="8" customWidth="1"/>
  </cols>
  <sheetData>
    <row r="1" spans="1:33" ht="15" x14ac:dyDescent="0.3">
      <c r="A1" s="22" t="s">
        <v>0</v>
      </c>
      <c r="B1" s="4" t="s">
        <v>2</v>
      </c>
      <c r="C1" s="9" t="s">
        <v>60</v>
      </c>
      <c r="D1" s="4" t="s">
        <v>162</v>
      </c>
      <c r="E1" s="4" t="s">
        <v>161</v>
      </c>
      <c r="F1" s="4" t="s">
        <v>1</v>
      </c>
      <c r="G1" s="4" t="s">
        <v>4</v>
      </c>
      <c r="H1" s="4" t="s">
        <v>3</v>
      </c>
      <c r="I1" s="4" t="s">
        <v>90</v>
      </c>
      <c r="J1" s="4" t="s">
        <v>5</v>
      </c>
      <c r="K1" s="4" t="s">
        <v>40</v>
      </c>
      <c r="L1" s="4" t="s">
        <v>7</v>
      </c>
      <c r="M1" s="4" t="s">
        <v>6</v>
      </c>
      <c r="N1" s="4" t="s">
        <v>145</v>
      </c>
      <c r="O1" s="4" t="s">
        <v>8</v>
      </c>
      <c r="P1" s="4" t="s">
        <v>9</v>
      </c>
      <c r="Q1" s="4" t="s">
        <v>10</v>
      </c>
      <c r="R1" s="4" t="s">
        <v>11</v>
      </c>
      <c r="S1" s="4" t="s">
        <v>12</v>
      </c>
      <c r="T1" s="4" t="s">
        <v>13</v>
      </c>
      <c r="U1" s="4" t="s">
        <v>14</v>
      </c>
      <c r="V1" s="4" t="s">
        <v>15</v>
      </c>
      <c r="W1" s="4" t="s">
        <v>16</v>
      </c>
      <c r="X1" s="4" t="s">
        <v>17</v>
      </c>
      <c r="Y1" s="4" t="s">
        <v>18</v>
      </c>
      <c r="Z1" s="4" t="s">
        <v>19</v>
      </c>
      <c r="AA1" s="4" t="s">
        <v>20</v>
      </c>
      <c r="AB1" s="4" t="s">
        <v>21</v>
      </c>
      <c r="AC1" s="4" t="s">
        <v>22</v>
      </c>
      <c r="AD1" s="4" t="s">
        <v>23</v>
      </c>
      <c r="AE1" s="4" t="s">
        <v>24</v>
      </c>
      <c r="AF1" s="4" t="s">
        <v>25</v>
      </c>
      <c r="AG1" s="24" t="s">
        <v>26</v>
      </c>
    </row>
    <row r="2" spans="1:33" ht="92.4" x14ac:dyDescent="0.3">
      <c r="A2" s="31" t="s">
        <v>172</v>
      </c>
      <c r="B2" s="6">
        <v>45855</v>
      </c>
      <c r="C2" s="5" t="s">
        <v>92</v>
      </c>
      <c r="D2" s="5" t="s">
        <v>169</v>
      </c>
      <c r="E2" s="5" t="s">
        <v>110</v>
      </c>
      <c r="F2" s="5" t="s">
        <v>93</v>
      </c>
      <c r="G2" s="2" t="s">
        <v>89</v>
      </c>
      <c r="H2" s="2" t="s">
        <v>88</v>
      </c>
      <c r="I2" s="2" t="s">
        <v>91</v>
      </c>
      <c r="J2" s="5"/>
      <c r="K2" s="2"/>
      <c r="L2" s="5" t="s">
        <v>207</v>
      </c>
      <c r="M2" s="5">
        <v>426</v>
      </c>
      <c r="N2" s="13">
        <v>0.4</v>
      </c>
      <c r="O2" s="5"/>
      <c r="P2" s="5"/>
      <c r="Q2" s="5"/>
      <c r="R2" s="5"/>
      <c r="S2" s="5"/>
      <c r="T2" s="5"/>
      <c r="U2" s="5"/>
      <c r="V2" s="5"/>
      <c r="W2" s="5"/>
      <c r="X2" s="5"/>
      <c r="Y2" s="5"/>
      <c r="Z2" s="5"/>
      <c r="AA2" s="5" t="s">
        <v>32</v>
      </c>
      <c r="AB2" s="5" t="s">
        <v>33</v>
      </c>
      <c r="AC2" s="5"/>
      <c r="AD2" s="5"/>
      <c r="AE2" s="5"/>
      <c r="AF2" s="5"/>
      <c r="AG2" s="26"/>
    </row>
    <row r="3" spans="1:33" ht="211.2" x14ac:dyDescent="0.3">
      <c r="A3" s="31" t="s">
        <v>173</v>
      </c>
      <c r="B3" s="6">
        <v>45855</v>
      </c>
      <c r="C3" s="5" t="s">
        <v>92</v>
      </c>
      <c r="D3" s="3" t="s">
        <v>168</v>
      </c>
      <c r="E3" s="5" t="s">
        <v>111</v>
      </c>
      <c r="F3" s="5" t="s">
        <v>140</v>
      </c>
      <c r="G3" s="3" t="s">
        <v>98</v>
      </c>
      <c r="H3" s="3" t="s">
        <v>99</v>
      </c>
      <c r="I3" s="3" t="s">
        <v>100</v>
      </c>
      <c r="J3" s="5"/>
      <c r="K3" s="2"/>
      <c r="L3" s="5" t="s">
        <v>207</v>
      </c>
      <c r="M3" s="5">
        <v>429</v>
      </c>
      <c r="N3" s="14">
        <v>0.88890000000000002</v>
      </c>
      <c r="O3" s="5"/>
      <c r="P3" s="5"/>
      <c r="Q3" s="5"/>
      <c r="R3" s="5"/>
      <c r="S3" s="5"/>
      <c r="T3" s="5"/>
      <c r="U3" s="5"/>
      <c r="V3" s="5"/>
      <c r="W3" s="5"/>
      <c r="X3" s="5"/>
      <c r="Y3" s="5"/>
      <c r="Z3" s="5"/>
      <c r="AA3" s="5"/>
      <c r="AB3" s="5"/>
      <c r="AC3" s="5"/>
      <c r="AD3" s="5"/>
      <c r="AE3" s="5"/>
      <c r="AF3" s="5"/>
      <c r="AG3" s="26"/>
    </row>
    <row r="4" spans="1:33" ht="211.2" x14ac:dyDescent="0.3">
      <c r="A4" s="31" t="s">
        <v>174</v>
      </c>
      <c r="B4" s="6">
        <v>45855</v>
      </c>
      <c r="C4" s="5" t="s">
        <v>92</v>
      </c>
      <c r="D4" s="5" t="s">
        <v>171</v>
      </c>
      <c r="E4" s="5" t="s">
        <v>112</v>
      </c>
      <c r="F4" s="5" t="s">
        <v>97</v>
      </c>
      <c r="G4" s="3" t="s">
        <v>94</v>
      </c>
      <c r="H4" s="3" t="s">
        <v>95</v>
      </c>
      <c r="I4" s="3" t="s">
        <v>96</v>
      </c>
      <c r="J4" s="3"/>
      <c r="K4" s="3"/>
      <c r="L4" s="5" t="s">
        <v>207</v>
      </c>
      <c r="M4" s="5">
        <v>431</v>
      </c>
      <c r="N4" s="13">
        <v>1</v>
      </c>
      <c r="O4" s="3"/>
      <c r="P4" s="3"/>
      <c r="Q4" s="3"/>
      <c r="R4" s="3"/>
      <c r="S4" s="3"/>
      <c r="T4" s="3"/>
      <c r="U4" s="3"/>
      <c r="V4" s="3"/>
      <c r="W4" s="3"/>
      <c r="X4" s="3"/>
      <c r="Y4" s="3"/>
      <c r="Z4" s="3"/>
      <c r="AA4" s="3"/>
      <c r="AB4" s="3"/>
      <c r="AC4" s="3"/>
      <c r="AD4" s="3"/>
      <c r="AE4" s="3"/>
      <c r="AF4" s="3"/>
      <c r="AG4" s="27"/>
    </row>
    <row r="5" spans="1:33" ht="118.8" x14ac:dyDescent="0.3">
      <c r="A5" s="31" t="s">
        <v>175</v>
      </c>
      <c r="B5" s="6">
        <v>45855</v>
      </c>
      <c r="C5" s="5" t="s">
        <v>92</v>
      </c>
      <c r="D5" s="3" t="s">
        <v>168</v>
      </c>
      <c r="E5" s="5" t="s">
        <v>113</v>
      </c>
      <c r="F5" s="5" t="s">
        <v>141</v>
      </c>
      <c r="G5" s="3" t="s">
        <v>101</v>
      </c>
      <c r="H5" s="3" t="s">
        <v>102</v>
      </c>
      <c r="I5" s="3" t="s">
        <v>103</v>
      </c>
      <c r="J5" s="3"/>
      <c r="K5" s="3"/>
      <c r="L5" s="5" t="s">
        <v>207</v>
      </c>
      <c r="M5" s="5">
        <v>427</v>
      </c>
      <c r="N5" s="13">
        <v>1</v>
      </c>
      <c r="O5" s="3"/>
      <c r="P5" s="3"/>
      <c r="Q5" s="3"/>
      <c r="R5" s="3"/>
      <c r="S5" s="3"/>
      <c r="T5" s="3"/>
      <c r="U5" s="3"/>
      <c r="V5" s="3"/>
      <c r="W5" s="3"/>
      <c r="X5" s="3"/>
      <c r="Y5" s="3"/>
      <c r="Z5" s="3"/>
      <c r="AA5" s="3"/>
      <c r="AB5" s="3"/>
      <c r="AC5" s="3"/>
      <c r="AD5" s="3"/>
      <c r="AE5" s="3"/>
      <c r="AF5" s="3"/>
      <c r="AG5" s="27"/>
    </row>
    <row r="6" spans="1:33" ht="92.4" x14ac:dyDescent="0.3">
      <c r="A6" s="31" t="s">
        <v>176</v>
      </c>
      <c r="B6" s="6">
        <v>45855</v>
      </c>
      <c r="C6" s="5" t="s">
        <v>92</v>
      </c>
      <c r="D6" s="5" t="s">
        <v>171</v>
      </c>
      <c r="E6" s="5" t="s">
        <v>112</v>
      </c>
      <c r="F6" s="5" t="s">
        <v>97</v>
      </c>
      <c r="G6" s="3" t="s">
        <v>104</v>
      </c>
      <c r="H6" s="3" t="s">
        <v>105</v>
      </c>
      <c r="I6" s="3" t="s">
        <v>106</v>
      </c>
      <c r="J6" s="3"/>
      <c r="K6" s="3"/>
      <c r="L6" s="5" t="s">
        <v>207</v>
      </c>
      <c r="M6" s="5">
        <v>430</v>
      </c>
      <c r="N6" s="13">
        <v>1</v>
      </c>
      <c r="O6" s="3"/>
      <c r="P6" s="3"/>
      <c r="Q6" s="3"/>
      <c r="R6" s="3"/>
      <c r="S6" s="3"/>
      <c r="T6" s="3"/>
      <c r="U6" s="3"/>
      <c r="V6" s="3"/>
      <c r="W6" s="3"/>
      <c r="X6" s="3"/>
      <c r="Y6" s="3"/>
      <c r="Z6" s="3"/>
      <c r="AA6" s="3"/>
      <c r="AB6" s="3"/>
      <c r="AC6" s="3"/>
      <c r="AD6" s="3"/>
      <c r="AE6" s="3"/>
      <c r="AF6" s="3"/>
      <c r="AG6" s="27"/>
    </row>
    <row r="7" spans="1:33" ht="198" x14ac:dyDescent="0.3">
      <c r="A7" s="31" t="s">
        <v>177</v>
      </c>
      <c r="B7" s="6">
        <v>45855</v>
      </c>
      <c r="C7" s="5" t="s">
        <v>92</v>
      </c>
      <c r="D7" s="5" t="s">
        <v>171</v>
      </c>
      <c r="E7" s="5" t="s">
        <v>112</v>
      </c>
      <c r="F7" s="5" t="s">
        <v>97</v>
      </c>
      <c r="G7" s="3" t="s">
        <v>107</v>
      </c>
      <c r="H7" s="3" t="s">
        <v>108</v>
      </c>
      <c r="I7" s="3" t="s">
        <v>109</v>
      </c>
      <c r="J7" s="3"/>
      <c r="K7" s="3"/>
      <c r="L7" s="5" t="s">
        <v>207</v>
      </c>
      <c r="M7" s="5">
        <v>428</v>
      </c>
      <c r="N7" s="13">
        <v>1</v>
      </c>
      <c r="O7" s="3"/>
      <c r="P7" s="3"/>
      <c r="Q7" s="3"/>
      <c r="R7" s="3"/>
      <c r="S7" s="3"/>
      <c r="T7" s="3"/>
      <c r="U7" s="3"/>
      <c r="V7" s="3"/>
      <c r="W7" s="3"/>
      <c r="X7" s="3"/>
      <c r="Y7" s="3"/>
      <c r="Z7" s="3"/>
      <c r="AA7" s="3"/>
      <c r="AB7" s="3"/>
      <c r="AC7" s="3"/>
      <c r="AD7" s="3"/>
      <c r="AE7" s="3"/>
      <c r="AF7" s="3"/>
      <c r="AG7" s="27"/>
    </row>
    <row r="8" spans="1:33" ht="39.6" x14ac:dyDescent="0.3">
      <c r="A8" s="31" t="s">
        <v>178</v>
      </c>
      <c r="B8" s="6">
        <v>45962</v>
      </c>
      <c r="C8" s="5" t="s">
        <v>114</v>
      </c>
      <c r="D8" s="5" t="s">
        <v>170</v>
      </c>
      <c r="E8" s="5" t="s">
        <v>132</v>
      </c>
      <c r="F8" s="5" t="s">
        <v>142</v>
      </c>
      <c r="G8" s="3" t="s">
        <v>127</v>
      </c>
      <c r="H8" s="3" t="s">
        <v>128</v>
      </c>
      <c r="I8" s="3" t="s">
        <v>129</v>
      </c>
      <c r="J8" s="3"/>
      <c r="K8" s="3"/>
      <c r="L8" s="5" t="s">
        <v>207</v>
      </c>
      <c r="M8" s="5">
        <v>452</v>
      </c>
      <c r="N8" s="14">
        <v>0</v>
      </c>
      <c r="O8" s="3"/>
      <c r="P8" s="3"/>
      <c r="Q8" s="3"/>
      <c r="R8" s="3"/>
      <c r="S8" s="3"/>
      <c r="T8" s="3"/>
      <c r="U8" s="3"/>
      <c r="V8" s="3"/>
      <c r="W8" s="3"/>
      <c r="X8" s="3"/>
      <c r="Y8" s="3"/>
      <c r="Z8" s="3"/>
      <c r="AA8" s="3"/>
      <c r="AB8" s="3"/>
      <c r="AC8" s="3"/>
      <c r="AD8" s="3"/>
      <c r="AE8" s="3"/>
      <c r="AF8" s="3"/>
      <c r="AG8" s="27"/>
    </row>
    <row r="9" spans="1:33" ht="79.2" x14ac:dyDescent="0.3">
      <c r="A9" s="31" t="s">
        <v>179</v>
      </c>
      <c r="B9" s="6">
        <v>45962</v>
      </c>
      <c r="C9" s="5" t="s">
        <v>114</v>
      </c>
      <c r="D9" s="3" t="s">
        <v>168</v>
      </c>
      <c r="E9" s="5" t="s">
        <v>133</v>
      </c>
      <c r="F9" s="3" t="s">
        <v>143</v>
      </c>
      <c r="G9" s="3" t="s">
        <v>130</v>
      </c>
      <c r="H9" s="3" t="s">
        <v>115</v>
      </c>
      <c r="I9" s="3" t="s">
        <v>131</v>
      </c>
      <c r="J9" s="3"/>
      <c r="K9" s="3"/>
      <c r="L9" s="5" t="s">
        <v>207</v>
      </c>
      <c r="M9" s="5">
        <v>449</v>
      </c>
      <c r="N9" s="14">
        <v>7.1400000000000005E-2</v>
      </c>
      <c r="O9" s="3"/>
      <c r="P9" s="3"/>
      <c r="Q9" s="3"/>
      <c r="R9" s="3"/>
      <c r="S9" s="3"/>
      <c r="T9" s="3"/>
      <c r="U9" s="3"/>
      <c r="V9" s="3"/>
      <c r="W9" s="3"/>
      <c r="X9" s="3"/>
      <c r="Y9" s="3"/>
      <c r="Z9" s="3"/>
      <c r="AA9" s="3"/>
      <c r="AB9" s="3"/>
      <c r="AC9" s="3"/>
      <c r="AD9" s="3"/>
      <c r="AE9" s="3"/>
      <c r="AF9" s="3"/>
      <c r="AG9" s="27"/>
    </row>
    <row r="10" spans="1:33" ht="79.2" x14ac:dyDescent="0.3">
      <c r="A10" s="31" t="s">
        <v>180</v>
      </c>
      <c r="B10" s="6">
        <v>45962</v>
      </c>
      <c r="C10" s="5" t="s">
        <v>114</v>
      </c>
      <c r="D10" s="3" t="s">
        <v>168</v>
      </c>
      <c r="E10" s="3" t="s">
        <v>119</v>
      </c>
      <c r="F10" s="3" t="s">
        <v>144</v>
      </c>
      <c r="G10" s="3" t="s">
        <v>116</v>
      </c>
      <c r="H10" s="3" t="s">
        <v>117</v>
      </c>
      <c r="I10" s="3" t="s">
        <v>118</v>
      </c>
      <c r="J10" s="3"/>
      <c r="K10" s="3"/>
      <c r="L10" s="5" t="s">
        <v>207</v>
      </c>
      <c r="M10" s="5">
        <v>450</v>
      </c>
      <c r="N10" s="14">
        <v>0.12</v>
      </c>
      <c r="O10" s="3"/>
      <c r="P10" s="3"/>
      <c r="Q10" s="3"/>
      <c r="R10" s="3"/>
      <c r="S10" s="3"/>
      <c r="T10" s="3"/>
      <c r="U10" s="3"/>
      <c r="V10" s="3"/>
      <c r="W10" s="3"/>
      <c r="X10" s="3"/>
      <c r="Y10" s="3"/>
      <c r="Z10" s="3"/>
      <c r="AA10" s="3"/>
      <c r="AB10" s="3"/>
      <c r="AC10" s="3"/>
      <c r="AD10" s="3"/>
      <c r="AE10" s="3"/>
      <c r="AF10" s="3"/>
      <c r="AG10" s="27"/>
    </row>
    <row r="11" spans="1:33" ht="43.05" customHeight="1" x14ac:dyDescent="0.3">
      <c r="A11" s="31" t="s">
        <v>181</v>
      </c>
      <c r="B11" s="19">
        <v>45962</v>
      </c>
      <c r="C11" s="20" t="s">
        <v>114</v>
      </c>
      <c r="D11" s="3" t="s">
        <v>168</v>
      </c>
      <c r="E11" s="20" t="s">
        <v>113</v>
      </c>
      <c r="F11" s="20" t="s">
        <v>141</v>
      </c>
      <c r="G11" s="20" t="s">
        <v>134</v>
      </c>
      <c r="H11" s="20" t="s">
        <v>135</v>
      </c>
      <c r="I11" s="20" t="s">
        <v>136</v>
      </c>
      <c r="J11" s="3"/>
      <c r="K11" s="3"/>
      <c r="L11" s="5" t="s">
        <v>207</v>
      </c>
      <c r="M11" s="5">
        <v>454</v>
      </c>
      <c r="N11" s="14">
        <v>0</v>
      </c>
      <c r="O11" s="3"/>
      <c r="P11" s="3"/>
      <c r="Q11" s="3"/>
      <c r="R11" s="3"/>
      <c r="S11" s="3"/>
      <c r="T11" s="3"/>
      <c r="U11" s="3"/>
      <c r="V11" s="3"/>
      <c r="W11" s="3"/>
      <c r="X11" s="3"/>
      <c r="Y11" s="3"/>
      <c r="Z11" s="3"/>
      <c r="AA11" s="3"/>
      <c r="AB11" s="3"/>
      <c r="AC11" s="3"/>
      <c r="AD11" s="3"/>
      <c r="AE11" s="3"/>
      <c r="AF11" s="3"/>
      <c r="AG11" s="27"/>
    </row>
    <row r="12" spans="1:33" ht="43.05" customHeight="1" x14ac:dyDescent="0.3">
      <c r="A12" s="31" t="s">
        <v>181</v>
      </c>
      <c r="B12" s="19">
        <v>45962</v>
      </c>
      <c r="C12" s="20" t="s">
        <v>114</v>
      </c>
      <c r="D12" s="3" t="s">
        <v>168</v>
      </c>
      <c r="E12" s="20" t="s">
        <v>113</v>
      </c>
      <c r="F12" s="20" t="s">
        <v>141</v>
      </c>
      <c r="G12" s="20" t="s">
        <v>134</v>
      </c>
      <c r="H12" s="20" t="s">
        <v>135</v>
      </c>
      <c r="I12" s="20" t="s">
        <v>136</v>
      </c>
      <c r="J12" s="3"/>
      <c r="K12" s="3"/>
      <c r="L12" s="5" t="s">
        <v>207</v>
      </c>
      <c r="M12" s="5">
        <v>451</v>
      </c>
      <c r="N12" s="14">
        <v>0.66669999999999996</v>
      </c>
      <c r="O12" s="3"/>
      <c r="P12" s="3"/>
      <c r="Q12" s="3"/>
      <c r="R12" s="3"/>
      <c r="S12" s="3"/>
      <c r="T12" s="3"/>
      <c r="U12" s="3"/>
      <c r="V12" s="3"/>
      <c r="W12" s="3"/>
      <c r="X12" s="3"/>
      <c r="Y12" s="3"/>
      <c r="Z12" s="3"/>
      <c r="AA12" s="3"/>
      <c r="AB12" s="3"/>
      <c r="AC12" s="3"/>
      <c r="AD12" s="3"/>
      <c r="AE12" s="3"/>
      <c r="AF12" s="3"/>
      <c r="AG12" s="27"/>
    </row>
    <row r="13" spans="1:33" ht="52.8" x14ac:dyDescent="0.3">
      <c r="A13" s="32" t="s">
        <v>182</v>
      </c>
      <c r="B13" s="29">
        <v>45962</v>
      </c>
      <c r="C13" s="21" t="s">
        <v>114</v>
      </c>
      <c r="D13" s="21" t="s">
        <v>169</v>
      </c>
      <c r="E13" s="21" t="s">
        <v>110</v>
      </c>
      <c r="F13" s="20" t="s">
        <v>93</v>
      </c>
      <c r="G13" s="20" t="s">
        <v>137</v>
      </c>
      <c r="H13" s="20" t="s">
        <v>138</v>
      </c>
      <c r="I13" s="20" t="s">
        <v>139</v>
      </c>
      <c r="J13" s="20"/>
      <c r="K13" s="20"/>
      <c r="L13" s="5" t="s">
        <v>207</v>
      </c>
      <c r="M13" s="21">
        <v>453</v>
      </c>
      <c r="N13" s="33">
        <v>0.11</v>
      </c>
      <c r="O13" s="20"/>
      <c r="P13" s="20"/>
      <c r="Q13" s="20"/>
      <c r="R13" s="20"/>
      <c r="S13" s="20"/>
      <c r="T13" s="20"/>
      <c r="U13" s="20"/>
      <c r="V13" s="20"/>
      <c r="W13" s="20"/>
      <c r="X13" s="20"/>
      <c r="Y13" s="20"/>
      <c r="Z13" s="20"/>
      <c r="AA13" s="20"/>
      <c r="AB13" s="20"/>
      <c r="AC13" s="20"/>
      <c r="AD13" s="20"/>
      <c r="AE13" s="20"/>
      <c r="AF13" s="20"/>
      <c r="AG13" s="30"/>
    </row>
  </sheetData>
  <phoneticPr fontId="6" type="noConversion"/>
  <dataValidations count="4">
    <dataValidation type="list" allowBlank="1" sqref="AB2:AB13" xr:uid="{274A9DB5-4743-4598-9019-2B28638E96CF}">
      <formula1>"Eficaz,Parcialmente eficaz,No eficaz"</formula1>
    </dataValidation>
    <dataValidation type="list" allowBlank="1" sqref="AA2:AA13" xr:uid="{16DC3DEB-B5C1-424F-80AB-A011FF6FFF69}">
      <formula1>"Documental,Prueba de control,Reauditoría"</formula1>
    </dataValidation>
    <dataValidation type="list" allowBlank="1" sqref="AE2:AE13 X2:X13" xr:uid="{F29F231E-D84F-4213-8EDD-989663568A7C}">
      <formula1>"Sí,No"</formula1>
    </dataValidation>
    <dataValidation type="list" allowBlank="1" sqref="T2:T13" xr:uid="{58F37FD9-7546-4E93-BDBF-1230BE932915}">
      <formula1>"Abierto,En proceso,Cerrado"</formula1>
    </dataValidation>
  </dataValidations>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1C015-EF83-44E5-9DD4-B9C5C1295757}">
  <dimension ref="B2:C6"/>
  <sheetViews>
    <sheetView workbookViewId="0">
      <selection activeCell="C3" sqref="C3"/>
    </sheetView>
  </sheetViews>
  <sheetFormatPr baseColWidth="10" defaultColWidth="10.88671875" defaultRowHeight="14.4" x14ac:dyDescent="0.3"/>
  <cols>
    <col min="1" max="16384" width="10.88671875" style="12"/>
  </cols>
  <sheetData>
    <row r="2" spans="2:3" x14ac:dyDescent="0.3">
      <c r="B2" s="12">
        <v>29</v>
      </c>
      <c r="C2" s="15">
        <v>1</v>
      </c>
    </row>
    <row r="3" spans="2:3" x14ac:dyDescent="0.3">
      <c r="B3" s="12">
        <v>24</v>
      </c>
      <c r="C3" s="12">
        <f>(C2*B3)/B2</f>
        <v>0.82758620689655171</v>
      </c>
    </row>
    <row r="5" spans="2:3" x14ac:dyDescent="0.3">
      <c r="B5" s="12">
        <v>5</v>
      </c>
      <c r="C5" s="15">
        <v>1</v>
      </c>
    </row>
    <row r="6" spans="2:3" x14ac:dyDescent="0.3">
      <c r="B6" s="12">
        <v>1</v>
      </c>
      <c r="C6" s="12">
        <f>(C5*B6)/B5</f>
        <v>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5"/>
  <sheetViews>
    <sheetView zoomScale="80" zoomScaleNormal="80" workbookViewId="0">
      <pane ySplit="1" topLeftCell="A2" activePane="bottomLeft" state="frozen"/>
      <selection pane="bottomLeft"/>
    </sheetView>
  </sheetViews>
  <sheetFormatPr baseColWidth="10" defaultColWidth="8.77734375" defaultRowHeight="14.4" x14ac:dyDescent="0.3"/>
  <cols>
    <col min="1" max="1" width="21.109375" style="8" customWidth="1"/>
    <col min="2" max="2" width="20.109375" style="8" customWidth="1"/>
    <col min="3" max="3" width="16.88671875" style="8" customWidth="1"/>
    <col min="4" max="4" width="14.88671875" style="8" customWidth="1"/>
    <col min="5" max="5" width="15.5546875" style="8" customWidth="1"/>
    <col min="6" max="6" width="29.44140625" style="8" customWidth="1"/>
    <col min="7" max="7" width="13.44140625" style="11" customWidth="1"/>
    <col min="8" max="8" width="43.77734375" style="8" customWidth="1"/>
    <col min="9" max="9" width="50.77734375" style="8" customWidth="1"/>
    <col min="10" max="10" width="47.33203125" style="8" customWidth="1"/>
    <col min="11" max="11" width="22" style="8" customWidth="1"/>
    <col min="12" max="12" width="27.77734375" style="8" customWidth="1"/>
    <col min="13" max="13" width="31" style="8" customWidth="1"/>
    <col min="14" max="14" width="22.33203125" style="8" customWidth="1"/>
    <col min="15" max="15" width="24.21875" style="8" customWidth="1"/>
    <col min="16" max="16" width="24.33203125" style="8" customWidth="1"/>
    <col min="17" max="17" width="32.88671875" style="8" customWidth="1"/>
    <col min="18" max="18" width="23.109375" style="8" customWidth="1"/>
    <col min="19" max="19" width="22" style="8" customWidth="1"/>
    <col min="20" max="20" width="31" style="8" customWidth="1"/>
    <col min="21" max="21" width="36.44140625" style="8" customWidth="1"/>
    <col min="22" max="22" width="25.6640625" style="8" customWidth="1"/>
    <col min="23" max="23" width="28.21875" style="8" customWidth="1"/>
    <col min="24" max="24" width="33.6640625" style="8" customWidth="1"/>
    <col min="25" max="25" width="23.33203125" style="8" customWidth="1"/>
    <col min="26" max="26" width="29.33203125" style="8" customWidth="1"/>
    <col min="27" max="27" width="23.33203125" style="8" customWidth="1"/>
    <col min="28" max="28" width="24.21875" style="8" customWidth="1"/>
    <col min="29" max="29" width="22" style="8" customWidth="1"/>
    <col min="30" max="30" width="22.21875" style="8" customWidth="1"/>
    <col min="31" max="31" width="27" style="8" customWidth="1"/>
  </cols>
  <sheetData>
    <row r="1" spans="1:31" ht="15" x14ac:dyDescent="0.3">
      <c r="A1" s="22" t="s">
        <v>0</v>
      </c>
      <c r="B1" s="4" t="s">
        <v>154</v>
      </c>
      <c r="C1" s="9" t="s">
        <v>60</v>
      </c>
      <c r="D1" s="4" t="s">
        <v>162</v>
      </c>
      <c r="E1" s="4" t="s">
        <v>161</v>
      </c>
      <c r="F1" s="4" t="s">
        <v>1</v>
      </c>
      <c r="G1" s="4" t="s">
        <v>79</v>
      </c>
      <c r="H1" s="4" t="s">
        <v>4</v>
      </c>
      <c r="I1" s="4" t="s">
        <v>3</v>
      </c>
      <c r="J1" s="4" t="s">
        <v>40</v>
      </c>
      <c r="K1" s="4" t="s">
        <v>7</v>
      </c>
      <c r="L1" s="4" t="s">
        <v>120</v>
      </c>
      <c r="M1" s="4" t="s">
        <v>8</v>
      </c>
      <c r="N1" s="4" t="s">
        <v>9</v>
      </c>
      <c r="O1" s="4" t="s">
        <v>10</v>
      </c>
      <c r="P1" s="4" t="s">
        <v>11</v>
      </c>
      <c r="Q1" s="4" t="s">
        <v>12</v>
      </c>
      <c r="R1" s="4" t="s">
        <v>13</v>
      </c>
      <c r="S1" s="4" t="s">
        <v>14</v>
      </c>
      <c r="T1" s="4" t="s">
        <v>15</v>
      </c>
      <c r="U1" s="4" t="s">
        <v>16</v>
      </c>
      <c r="V1" s="4" t="s">
        <v>17</v>
      </c>
      <c r="W1" s="4" t="s">
        <v>18</v>
      </c>
      <c r="X1" s="4" t="s">
        <v>19</v>
      </c>
      <c r="Y1" s="4" t="s">
        <v>20</v>
      </c>
      <c r="Z1" s="4" t="s">
        <v>21</v>
      </c>
      <c r="AA1" s="4" t="s">
        <v>22</v>
      </c>
      <c r="AB1" s="4" t="s">
        <v>23</v>
      </c>
      <c r="AC1" s="4" t="s">
        <v>24</v>
      </c>
      <c r="AD1" s="4" t="s">
        <v>25</v>
      </c>
      <c r="AE1" s="24" t="s">
        <v>26</v>
      </c>
    </row>
    <row r="2" spans="1:31" ht="66" x14ac:dyDescent="0.3">
      <c r="A2" s="23" t="s">
        <v>183</v>
      </c>
      <c r="B2" s="17">
        <v>46143</v>
      </c>
      <c r="C2" s="16" t="s">
        <v>146</v>
      </c>
      <c r="D2" s="5" t="s">
        <v>34</v>
      </c>
      <c r="E2" s="5" t="s">
        <v>34</v>
      </c>
      <c r="F2" s="5" t="s">
        <v>35</v>
      </c>
      <c r="G2" s="5" t="s">
        <v>36</v>
      </c>
      <c r="H2" s="16" t="s">
        <v>156</v>
      </c>
      <c r="I2" s="16" t="s">
        <v>155</v>
      </c>
      <c r="J2" s="16"/>
      <c r="K2" s="16"/>
      <c r="L2" s="16"/>
      <c r="M2" s="16"/>
      <c r="N2" s="16"/>
      <c r="O2" s="16"/>
      <c r="P2" s="18"/>
      <c r="Q2" s="16"/>
      <c r="R2" s="16"/>
      <c r="S2" s="16"/>
      <c r="T2" s="16"/>
      <c r="U2" s="16"/>
      <c r="V2" s="16"/>
      <c r="W2" s="16"/>
      <c r="X2" s="16"/>
      <c r="Y2" s="16"/>
      <c r="Z2" s="16"/>
      <c r="AA2" s="16"/>
      <c r="AB2" s="16"/>
      <c r="AC2" s="16"/>
      <c r="AD2" s="16"/>
      <c r="AE2" s="25"/>
    </row>
    <row r="3" spans="1:31" ht="79.2" x14ac:dyDescent="0.3">
      <c r="A3" s="23" t="s">
        <v>184</v>
      </c>
      <c r="B3" s="17">
        <v>46143</v>
      </c>
      <c r="C3" s="16" t="s">
        <v>146</v>
      </c>
      <c r="D3" s="5" t="s">
        <v>34</v>
      </c>
      <c r="E3" s="5" t="s">
        <v>34</v>
      </c>
      <c r="F3" s="5" t="s">
        <v>35</v>
      </c>
      <c r="G3" s="5" t="s">
        <v>36</v>
      </c>
      <c r="H3" s="16" t="s">
        <v>158</v>
      </c>
      <c r="I3" s="16" t="s">
        <v>157</v>
      </c>
      <c r="J3" s="16"/>
      <c r="K3" s="16"/>
      <c r="L3" s="16"/>
      <c r="M3" s="16"/>
      <c r="N3" s="16"/>
      <c r="O3" s="16"/>
      <c r="P3" s="18"/>
      <c r="Q3" s="16"/>
      <c r="R3" s="16"/>
      <c r="S3" s="16"/>
      <c r="T3" s="16"/>
      <c r="U3" s="16"/>
      <c r="V3" s="16"/>
      <c r="W3" s="16"/>
      <c r="X3" s="16"/>
      <c r="Y3" s="16"/>
      <c r="Z3" s="16"/>
      <c r="AA3" s="16"/>
      <c r="AB3" s="16"/>
      <c r="AC3" s="16"/>
      <c r="AD3" s="16"/>
      <c r="AE3" s="25"/>
    </row>
    <row r="4" spans="1:31" ht="52.8" x14ac:dyDescent="0.3">
      <c r="A4" s="23" t="s">
        <v>185</v>
      </c>
      <c r="B4" s="17">
        <v>46143</v>
      </c>
      <c r="C4" s="16" t="s">
        <v>146</v>
      </c>
      <c r="D4" s="5" t="s">
        <v>34</v>
      </c>
      <c r="E4" s="5" t="s">
        <v>34</v>
      </c>
      <c r="F4" s="5" t="s">
        <v>35</v>
      </c>
      <c r="G4" s="5" t="s">
        <v>36</v>
      </c>
      <c r="H4" s="16" t="s">
        <v>160</v>
      </c>
      <c r="I4" s="16" t="s">
        <v>159</v>
      </c>
      <c r="J4" s="16"/>
      <c r="K4" s="16"/>
      <c r="L4" s="16"/>
      <c r="M4" s="16"/>
      <c r="N4" s="16"/>
      <c r="O4" s="16"/>
      <c r="P4" s="18"/>
      <c r="Q4" s="16"/>
      <c r="R4" s="16"/>
      <c r="S4" s="16"/>
      <c r="T4" s="16"/>
      <c r="U4" s="16"/>
      <c r="V4" s="16"/>
      <c r="W4" s="16"/>
      <c r="X4" s="16"/>
      <c r="Y4" s="16"/>
      <c r="Z4" s="16"/>
      <c r="AA4" s="16"/>
      <c r="AB4" s="16"/>
      <c r="AC4" s="16"/>
      <c r="AD4" s="16"/>
      <c r="AE4" s="25"/>
    </row>
    <row r="5" spans="1:31" ht="66" x14ac:dyDescent="0.3">
      <c r="A5" s="23" t="s">
        <v>186</v>
      </c>
      <c r="B5" s="17">
        <v>46143</v>
      </c>
      <c r="C5" s="16" t="s">
        <v>146</v>
      </c>
      <c r="D5" s="5" t="s">
        <v>34</v>
      </c>
      <c r="E5" s="5" t="s">
        <v>34</v>
      </c>
      <c r="F5" s="5" t="s">
        <v>35</v>
      </c>
      <c r="G5" s="5" t="s">
        <v>57</v>
      </c>
      <c r="H5" s="16" t="s">
        <v>148</v>
      </c>
      <c r="I5" s="16" t="s">
        <v>149</v>
      </c>
      <c r="J5" s="16"/>
      <c r="K5" s="16"/>
      <c r="L5" s="16"/>
      <c r="M5" s="16"/>
      <c r="N5" s="16"/>
      <c r="O5" s="16"/>
      <c r="P5" s="18"/>
      <c r="Q5" s="16"/>
      <c r="R5" s="16"/>
      <c r="S5" s="16"/>
      <c r="T5" s="16"/>
      <c r="U5" s="16"/>
      <c r="V5" s="16"/>
      <c r="W5" s="16"/>
      <c r="X5" s="16"/>
      <c r="Y5" s="16"/>
      <c r="Z5" s="16"/>
      <c r="AA5" s="16"/>
      <c r="AB5" s="16"/>
      <c r="AC5" s="16"/>
      <c r="AD5" s="16"/>
      <c r="AE5" s="25"/>
    </row>
    <row r="6" spans="1:31" ht="39.6" x14ac:dyDescent="0.3">
      <c r="A6" s="23" t="s">
        <v>187</v>
      </c>
      <c r="B6" s="17">
        <v>46143</v>
      </c>
      <c r="C6" s="16" t="s">
        <v>147</v>
      </c>
      <c r="D6" s="5" t="s">
        <v>34</v>
      </c>
      <c r="E6" s="5" t="s">
        <v>34</v>
      </c>
      <c r="F6" s="5" t="s">
        <v>35</v>
      </c>
      <c r="G6" s="5" t="s">
        <v>36</v>
      </c>
      <c r="H6" s="16" t="s">
        <v>150</v>
      </c>
      <c r="I6" s="16" t="s">
        <v>151</v>
      </c>
      <c r="J6" s="16"/>
      <c r="K6" s="16"/>
      <c r="L6" s="16"/>
      <c r="M6" s="16"/>
      <c r="N6" s="16"/>
      <c r="O6" s="16"/>
      <c r="P6" s="18"/>
      <c r="Q6" s="16"/>
      <c r="R6" s="16"/>
      <c r="S6" s="16"/>
      <c r="T6" s="16"/>
      <c r="U6" s="16"/>
      <c r="V6" s="16"/>
      <c r="W6" s="16"/>
      <c r="X6" s="16"/>
      <c r="Y6" s="16"/>
      <c r="Z6" s="16"/>
      <c r="AA6" s="16"/>
      <c r="AB6" s="16"/>
      <c r="AC6" s="16"/>
      <c r="AD6" s="16"/>
      <c r="AE6" s="25"/>
    </row>
    <row r="7" spans="1:31" ht="79.2" x14ac:dyDescent="0.3">
      <c r="A7" s="23" t="s">
        <v>188</v>
      </c>
      <c r="B7" s="17">
        <v>46143</v>
      </c>
      <c r="C7" s="16" t="s">
        <v>147</v>
      </c>
      <c r="D7" s="5" t="s">
        <v>34</v>
      </c>
      <c r="E7" s="5" t="s">
        <v>34</v>
      </c>
      <c r="F7" s="5" t="s">
        <v>35</v>
      </c>
      <c r="G7" s="5" t="s">
        <v>57</v>
      </c>
      <c r="H7" s="16" t="s">
        <v>152</v>
      </c>
      <c r="I7" s="16" t="s">
        <v>153</v>
      </c>
      <c r="J7" s="16"/>
      <c r="K7" s="16"/>
      <c r="L7" s="16"/>
      <c r="M7" s="16"/>
      <c r="N7" s="16"/>
      <c r="O7" s="16"/>
      <c r="P7" s="18"/>
      <c r="Q7" s="16"/>
      <c r="R7" s="16"/>
      <c r="S7" s="16"/>
      <c r="T7" s="16"/>
      <c r="U7" s="16"/>
      <c r="V7" s="16"/>
      <c r="W7" s="16"/>
      <c r="X7" s="16"/>
      <c r="Y7" s="16"/>
      <c r="Z7" s="16"/>
      <c r="AA7" s="16"/>
      <c r="AB7" s="16"/>
      <c r="AC7" s="16"/>
      <c r="AD7" s="16"/>
      <c r="AE7" s="25"/>
    </row>
    <row r="8" spans="1:31" ht="92.4" customHeight="1" x14ac:dyDescent="0.3">
      <c r="A8" s="23" t="s">
        <v>189</v>
      </c>
      <c r="B8" s="6">
        <v>45901</v>
      </c>
      <c r="C8" s="5" t="s">
        <v>61</v>
      </c>
      <c r="D8" s="5" t="s">
        <v>34</v>
      </c>
      <c r="E8" s="5" t="s">
        <v>34</v>
      </c>
      <c r="F8" s="5" t="s">
        <v>35</v>
      </c>
      <c r="G8" s="5" t="s">
        <v>36</v>
      </c>
      <c r="H8" s="2" t="s">
        <v>38</v>
      </c>
      <c r="I8" s="2" t="s">
        <v>37</v>
      </c>
      <c r="J8" s="2" t="s">
        <v>39</v>
      </c>
      <c r="K8" s="5" t="s">
        <v>6</v>
      </c>
      <c r="L8" s="5" t="s">
        <v>122</v>
      </c>
      <c r="M8" s="5"/>
      <c r="N8" s="5"/>
      <c r="O8" s="5"/>
      <c r="P8" s="20" t="s">
        <v>125</v>
      </c>
      <c r="Q8" s="5"/>
      <c r="R8" s="5"/>
      <c r="S8" s="5"/>
      <c r="T8" s="5"/>
      <c r="U8" s="5"/>
      <c r="V8" s="5"/>
      <c r="W8" s="5"/>
      <c r="X8" s="5"/>
      <c r="Y8" s="5" t="s">
        <v>32</v>
      </c>
      <c r="Z8" s="5" t="s">
        <v>33</v>
      </c>
      <c r="AA8" s="5"/>
      <c r="AB8" s="5"/>
      <c r="AC8" s="5"/>
      <c r="AD8" s="5"/>
      <c r="AE8" s="26"/>
    </row>
    <row r="9" spans="1:31" ht="184.8" x14ac:dyDescent="0.3">
      <c r="A9" s="23" t="s">
        <v>190</v>
      </c>
      <c r="B9" s="6">
        <v>45901</v>
      </c>
      <c r="C9" s="5" t="s">
        <v>61</v>
      </c>
      <c r="D9" s="5" t="s">
        <v>34</v>
      </c>
      <c r="E9" s="5" t="s">
        <v>34</v>
      </c>
      <c r="F9" s="5" t="s">
        <v>35</v>
      </c>
      <c r="G9" s="5" t="s">
        <v>36</v>
      </c>
      <c r="H9" s="3" t="s">
        <v>41</v>
      </c>
      <c r="I9" s="3" t="s">
        <v>42</v>
      </c>
      <c r="J9" s="3" t="s">
        <v>45</v>
      </c>
      <c r="K9" s="5" t="s">
        <v>6</v>
      </c>
      <c r="L9" s="5" t="s">
        <v>121</v>
      </c>
      <c r="M9" s="3"/>
      <c r="N9" s="3"/>
      <c r="O9" s="3"/>
      <c r="P9" s="20" t="s">
        <v>125</v>
      </c>
      <c r="Q9" s="3"/>
      <c r="R9" s="3"/>
      <c r="S9" s="3"/>
      <c r="T9" s="3"/>
      <c r="U9" s="3"/>
      <c r="V9" s="3"/>
      <c r="W9" s="3"/>
      <c r="X9" s="3"/>
      <c r="Y9" s="3"/>
      <c r="Z9" s="3"/>
      <c r="AA9" s="3"/>
      <c r="AB9" s="3"/>
      <c r="AC9" s="3"/>
      <c r="AD9" s="3"/>
      <c r="AE9" s="27"/>
    </row>
    <row r="10" spans="1:31" ht="184.8" x14ac:dyDescent="0.3">
      <c r="A10" s="23" t="s">
        <v>191</v>
      </c>
      <c r="B10" s="6">
        <v>45901</v>
      </c>
      <c r="C10" s="5" t="s">
        <v>61</v>
      </c>
      <c r="D10" s="5" t="s">
        <v>34</v>
      </c>
      <c r="E10" s="5" t="s">
        <v>34</v>
      </c>
      <c r="F10" s="5" t="s">
        <v>35</v>
      </c>
      <c r="G10" s="5" t="s">
        <v>36</v>
      </c>
      <c r="H10" s="3" t="s">
        <v>41</v>
      </c>
      <c r="I10" s="3" t="s">
        <v>43</v>
      </c>
      <c r="J10" s="3" t="s">
        <v>45</v>
      </c>
      <c r="K10" s="5" t="s">
        <v>6</v>
      </c>
      <c r="L10" s="7" t="s">
        <v>123</v>
      </c>
      <c r="M10" s="3"/>
      <c r="N10" s="3"/>
      <c r="O10" s="3"/>
      <c r="P10" s="20" t="s">
        <v>125</v>
      </c>
      <c r="Q10" s="3"/>
      <c r="R10" s="3"/>
      <c r="S10" s="3"/>
      <c r="T10" s="3"/>
      <c r="U10" s="3"/>
      <c r="V10" s="3"/>
      <c r="W10" s="3"/>
      <c r="X10" s="3"/>
      <c r="Y10" s="3"/>
      <c r="Z10" s="3"/>
      <c r="AA10" s="3"/>
      <c r="AB10" s="3"/>
      <c r="AC10" s="3"/>
      <c r="AD10" s="3"/>
      <c r="AE10" s="27"/>
    </row>
    <row r="11" spans="1:31" ht="250.8" x14ac:dyDescent="0.3">
      <c r="A11" s="23" t="s">
        <v>192</v>
      </c>
      <c r="B11" s="6">
        <v>45901</v>
      </c>
      <c r="C11" s="5" t="s">
        <v>61</v>
      </c>
      <c r="D11" s="5" t="s">
        <v>34</v>
      </c>
      <c r="E11" s="5" t="s">
        <v>34</v>
      </c>
      <c r="F11" s="5" t="s">
        <v>35</v>
      </c>
      <c r="G11" s="5" t="s">
        <v>36</v>
      </c>
      <c r="H11" s="3" t="s">
        <v>41</v>
      </c>
      <c r="I11" s="3" t="s">
        <v>44</v>
      </c>
      <c r="J11" s="3" t="s">
        <v>45</v>
      </c>
      <c r="K11" s="5" t="s">
        <v>6</v>
      </c>
      <c r="L11" s="5" t="s">
        <v>124</v>
      </c>
      <c r="M11" s="3"/>
      <c r="N11" s="3"/>
      <c r="O11" s="3"/>
      <c r="P11" s="20" t="s">
        <v>125</v>
      </c>
      <c r="Q11" s="3"/>
      <c r="R11" s="3"/>
      <c r="S11" s="3"/>
      <c r="T11" s="3"/>
      <c r="U11" s="3"/>
      <c r="V11" s="3"/>
      <c r="W11" s="3"/>
      <c r="X11" s="3"/>
      <c r="Y11" s="3"/>
      <c r="Z11" s="3"/>
      <c r="AA11" s="3"/>
      <c r="AB11" s="3"/>
      <c r="AC11" s="3"/>
      <c r="AD11" s="3"/>
      <c r="AE11" s="27"/>
    </row>
    <row r="12" spans="1:31" ht="66" x14ac:dyDescent="0.3">
      <c r="A12" s="23" t="s">
        <v>193</v>
      </c>
      <c r="B12" s="6">
        <v>45778</v>
      </c>
      <c r="C12" s="3" t="s">
        <v>62</v>
      </c>
      <c r="D12" s="3" t="s">
        <v>163</v>
      </c>
      <c r="E12" s="3" t="s">
        <v>165</v>
      </c>
      <c r="F12" s="3" t="s">
        <v>46</v>
      </c>
      <c r="G12" s="5" t="s">
        <v>56</v>
      </c>
      <c r="H12" s="3" t="s">
        <v>55</v>
      </c>
      <c r="I12" s="3" t="s">
        <v>47</v>
      </c>
      <c r="J12" s="3" t="s">
        <v>58</v>
      </c>
      <c r="K12" s="3"/>
      <c r="L12" s="3"/>
      <c r="M12" s="3"/>
      <c r="N12" s="3"/>
      <c r="O12" s="3"/>
      <c r="P12" s="3"/>
      <c r="Q12" s="3"/>
      <c r="R12" s="3"/>
      <c r="S12" s="3"/>
      <c r="T12" s="3"/>
      <c r="U12" s="3"/>
      <c r="V12" s="3"/>
      <c r="W12" s="3"/>
      <c r="X12" s="3"/>
      <c r="Y12" s="3"/>
      <c r="Z12" s="3"/>
      <c r="AA12" s="3"/>
      <c r="AB12" s="3"/>
      <c r="AC12" s="3"/>
      <c r="AD12" s="3"/>
      <c r="AE12" s="27"/>
    </row>
    <row r="13" spans="1:31" ht="66" x14ac:dyDescent="0.3">
      <c r="A13" s="23" t="s">
        <v>194</v>
      </c>
      <c r="B13" s="6">
        <v>45778</v>
      </c>
      <c r="C13" s="3" t="s">
        <v>62</v>
      </c>
      <c r="D13" s="3" t="s">
        <v>163</v>
      </c>
      <c r="E13" s="3" t="s">
        <v>165</v>
      </c>
      <c r="F13" s="3" t="s">
        <v>46</v>
      </c>
      <c r="G13" s="5" t="s">
        <v>36</v>
      </c>
      <c r="H13" s="3" t="s">
        <v>53</v>
      </c>
      <c r="I13" s="3" t="s">
        <v>48</v>
      </c>
      <c r="J13" s="3" t="s">
        <v>58</v>
      </c>
      <c r="K13" s="3"/>
      <c r="L13" s="3"/>
      <c r="M13" s="3"/>
      <c r="N13" s="3"/>
      <c r="O13" s="3"/>
      <c r="P13" s="3"/>
      <c r="Q13" s="3"/>
      <c r="R13" s="3"/>
      <c r="S13" s="3"/>
      <c r="T13" s="3"/>
      <c r="U13" s="3"/>
      <c r="V13" s="3"/>
      <c r="W13" s="3"/>
      <c r="X13" s="3"/>
      <c r="Y13" s="3"/>
      <c r="Z13" s="3"/>
      <c r="AA13" s="3"/>
      <c r="AB13" s="3"/>
      <c r="AC13" s="3"/>
      <c r="AD13" s="3"/>
      <c r="AE13" s="27"/>
    </row>
    <row r="14" spans="1:31" ht="79.2" x14ac:dyDescent="0.3">
      <c r="A14" s="23" t="s">
        <v>195</v>
      </c>
      <c r="B14" s="6">
        <v>45778</v>
      </c>
      <c r="C14" s="3" t="s">
        <v>62</v>
      </c>
      <c r="D14" s="3" t="s">
        <v>163</v>
      </c>
      <c r="E14" s="3" t="s">
        <v>165</v>
      </c>
      <c r="F14" s="3" t="s">
        <v>46</v>
      </c>
      <c r="G14" s="5" t="s">
        <v>36</v>
      </c>
      <c r="H14" s="3" t="s">
        <v>53</v>
      </c>
      <c r="I14" s="3" t="s">
        <v>49</v>
      </c>
      <c r="J14" s="3" t="s">
        <v>58</v>
      </c>
      <c r="K14" s="3"/>
      <c r="L14" s="3"/>
      <c r="M14" s="3"/>
      <c r="N14" s="3"/>
      <c r="O14" s="3"/>
      <c r="P14" s="3"/>
      <c r="Q14" s="3"/>
      <c r="R14" s="3"/>
      <c r="S14" s="3"/>
      <c r="T14" s="3"/>
      <c r="U14" s="3"/>
      <c r="V14" s="3"/>
      <c r="W14" s="3"/>
      <c r="X14" s="3"/>
      <c r="Y14" s="3"/>
      <c r="Z14" s="3"/>
      <c r="AA14" s="3"/>
      <c r="AB14" s="3"/>
      <c r="AC14" s="3"/>
      <c r="AD14" s="3"/>
      <c r="AE14" s="27"/>
    </row>
    <row r="15" spans="1:31" ht="79.2" x14ac:dyDescent="0.3">
      <c r="A15" s="23" t="s">
        <v>196</v>
      </c>
      <c r="B15" s="6">
        <v>45778</v>
      </c>
      <c r="C15" s="3" t="s">
        <v>62</v>
      </c>
      <c r="D15" s="3" t="s">
        <v>163</v>
      </c>
      <c r="E15" s="3" t="s">
        <v>165</v>
      </c>
      <c r="F15" s="3" t="s">
        <v>46</v>
      </c>
      <c r="G15" s="5" t="s">
        <v>56</v>
      </c>
      <c r="H15" s="3" t="s">
        <v>53</v>
      </c>
      <c r="I15" s="3" t="s">
        <v>50</v>
      </c>
      <c r="J15" s="3" t="s">
        <v>58</v>
      </c>
      <c r="K15" s="3"/>
      <c r="L15" s="3"/>
      <c r="M15" s="3"/>
      <c r="N15" s="3"/>
      <c r="O15" s="3"/>
      <c r="P15" s="3"/>
      <c r="Q15" s="3"/>
      <c r="R15" s="3"/>
      <c r="S15" s="3"/>
      <c r="T15" s="3"/>
      <c r="U15" s="3"/>
      <c r="V15" s="3"/>
      <c r="W15" s="3"/>
      <c r="X15" s="3"/>
      <c r="Y15" s="3"/>
      <c r="Z15" s="3"/>
      <c r="AA15" s="3"/>
      <c r="AB15" s="3"/>
      <c r="AC15" s="3"/>
      <c r="AD15" s="3"/>
      <c r="AE15" s="27"/>
    </row>
    <row r="16" spans="1:31" ht="66" x14ac:dyDescent="0.3">
      <c r="A16" s="23" t="s">
        <v>197</v>
      </c>
      <c r="B16" s="6">
        <v>45778</v>
      </c>
      <c r="C16" s="3" t="s">
        <v>62</v>
      </c>
      <c r="D16" s="3" t="s">
        <v>163</v>
      </c>
      <c r="E16" s="3" t="s">
        <v>165</v>
      </c>
      <c r="F16" s="3" t="s">
        <v>46</v>
      </c>
      <c r="G16" s="5" t="s">
        <v>36</v>
      </c>
      <c r="H16" s="3" t="s">
        <v>54</v>
      </c>
      <c r="I16" s="3" t="s">
        <v>51</v>
      </c>
      <c r="J16" s="3" t="s">
        <v>58</v>
      </c>
      <c r="K16" s="3"/>
      <c r="L16" s="3"/>
      <c r="M16" s="3"/>
      <c r="N16" s="3"/>
      <c r="O16" s="3"/>
      <c r="P16" s="3"/>
      <c r="Q16" s="3"/>
      <c r="R16" s="3"/>
      <c r="S16" s="3"/>
      <c r="T16" s="3"/>
      <c r="U16" s="3"/>
      <c r="V16" s="3"/>
      <c r="W16" s="3"/>
      <c r="X16" s="3"/>
      <c r="Y16" s="3"/>
      <c r="Z16" s="3"/>
      <c r="AA16" s="3"/>
      <c r="AB16" s="3"/>
      <c r="AC16" s="3"/>
      <c r="AD16" s="3"/>
      <c r="AE16" s="27"/>
    </row>
    <row r="17" spans="1:31" ht="66" x14ac:dyDescent="0.3">
      <c r="A17" s="23" t="s">
        <v>198</v>
      </c>
      <c r="B17" s="6">
        <v>45778</v>
      </c>
      <c r="C17" s="3" t="s">
        <v>62</v>
      </c>
      <c r="D17" s="3" t="s">
        <v>163</v>
      </c>
      <c r="E17" s="3" t="s">
        <v>165</v>
      </c>
      <c r="F17" s="3" t="s">
        <v>46</v>
      </c>
      <c r="G17" s="5" t="s">
        <v>57</v>
      </c>
      <c r="H17" s="3" t="s">
        <v>53</v>
      </c>
      <c r="I17" s="3" t="s">
        <v>52</v>
      </c>
      <c r="J17" s="3" t="s">
        <v>58</v>
      </c>
      <c r="K17" s="3"/>
      <c r="L17" s="3"/>
      <c r="M17" s="3"/>
      <c r="N17" s="3"/>
      <c r="O17" s="3"/>
      <c r="P17" s="3"/>
      <c r="Q17" s="3"/>
      <c r="R17" s="3"/>
      <c r="S17" s="3"/>
      <c r="T17" s="3"/>
      <c r="U17" s="3"/>
      <c r="V17" s="3"/>
      <c r="W17" s="3"/>
      <c r="X17" s="3"/>
      <c r="Y17" s="3"/>
      <c r="Z17" s="3"/>
      <c r="AA17" s="3"/>
      <c r="AB17" s="3"/>
      <c r="AC17" s="3"/>
      <c r="AD17" s="3"/>
      <c r="AE17" s="27"/>
    </row>
    <row r="18" spans="1:31" ht="52.8" x14ac:dyDescent="0.3">
      <c r="A18" s="23" t="s">
        <v>199</v>
      </c>
      <c r="B18" s="6">
        <v>45505</v>
      </c>
      <c r="C18" s="3" t="s">
        <v>63</v>
      </c>
      <c r="D18" s="3" t="s">
        <v>164</v>
      </c>
      <c r="E18" s="3" t="s">
        <v>166</v>
      </c>
      <c r="F18" s="3" t="s">
        <v>126</v>
      </c>
      <c r="G18" s="5" t="s">
        <v>36</v>
      </c>
      <c r="H18" s="3" t="s">
        <v>59</v>
      </c>
      <c r="I18" s="10" t="s">
        <v>64</v>
      </c>
      <c r="J18" s="3" t="s">
        <v>67</v>
      </c>
      <c r="K18" s="3"/>
      <c r="L18" s="3"/>
      <c r="M18" s="3"/>
      <c r="N18" s="3"/>
      <c r="O18" s="3"/>
      <c r="P18" s="3"/>
      <c r="Q18" s="3"/>
      <c r="R18" s="3"/>
      <c r="S18" s="3"/>
      <c r="T18" s="3"/>
      <c r="U18" s="3"/>
      <c r="V18" s="3"/>
      <c r="W18" s="3"/>
      <c r="X18" s="3"/>
      <c r="Y18" s="3"/>
      <c r="Z18" s="3"/>
      <c r="AA18" s="3"/>
      <c r="AB18" s="3"/>
      <c r="AC18" s="3"/>
      <c r="AD18" s="3"/>
      <c r="AE18" s="27"/>
    </row>
    <row r="19" spans="1:31" ht="66" x14ac:dyDescent="0.3">
      <c r="A19" s="23" t="s">
        <v>200</v>
      </c>
      <c r="B19" s="6">
        <v>45505</v>
      </c>
      <c r="C19" s="3" t="s">
        <v>63</v>
      </c>
      <c r="D19" s="3" t="s">
        <v>164</v>
      </c>
      <c r="E19" s="3" t="s">
        <v>166</v>
      </c>
      <c r="F19" s="3" t="s">
        <v>126</v>
      </c>
      <c r="G19" s="5" t="s">
        <v>36</v>
      </c>
      <c r="H19" s="3" t="s">
        <v>65</v>
      </c>
      <c r="I19" s="3" t="s">
        <v>66</v>
      </c>
      <c r="J19" s="3" t="s">
        <v>67</v>
      </c>
      <c r="K19" s="3"/>
      <c r="L19" s="3"/>
      <c r="M19" s="3"/>
      <c r="N19" s="3"/>
      <c r="O19" s="3"/>
      <c r="P19" s="3"/>
      <c r="Q19" s="3"/>
      <c r="R19" s="3"/>
      <c r="S19" s="3"/>
      <c r="T19" s="3"/>
      <c r="U19" s="3"/>
      <c r="V19" s="3"/>
      <c r="W19" s="3"/>
      <c r="X19" s="3"/>
      <c r="Y19" s="3"/>
      <c r="Z19" s="3"/>
      <c r="AA19" s="3"/>
      <c r="AB19" s="3"/>
      <c r="AC19" s="3"/>
      <c r="AD19" s="3"/>
      <c r="AE19" s="27"/>
    </row>
    <row r="20" spans="1:31" ht="66" x14ac:dyDescent="0.3">
      <c r="A20" s="23" t="s">
        <v>201</v>
      </c>
      <c r="B20" s="6">
        <v>45505</v>
      </c>
      <c r="C20" s="3" t="s">
        <v>63</v>
      </c>
      <c r="D20" s="3" t="s">
        <v>164</v>
      </c>
      <c r="E20" s="3" t="s">
        <v>166</v>
      </c>
      <c r="F20" s="3" t="s">
        <v>126</v>
      </c>
      <c r="G20" s="5" t="s">
        <v>36</v>
      </c>
      <c r="H20" s="3" t="s">
        <v>68</v>
      </c>
      <c r="I20" s="3" t="s">
        <v>69</v>
      </c>
      <c r="J20" s="3" t="s">
        <v>70</v>
      </c>
      <c r="K20" s="3"/>
      <c r="L20" s="3"/>
      <c r="M20" s="3"/>
      <c r="N20" s="3"/>
      <c r="O20" s="3"/>
      <c r="P20" s="3"/>
      <c r="Q20" s="3"/>
      <c r="R20" s="3"/>
      <c r="S20" s="3"/>
      <c r="T20" s="3"/>
      <c r="U20" s="3"/>
      <c r="V20" s="3"/>
      <c r="W20" s="3"/>
      <c r="X20" s="3"/>
      <c r="Y20" s="3"/>
      <c r="Z20" s="3"/>
      <c r="AA20" s="3"/>
      <c r="AB20" s="3"/>
      <c r="AC20" s="3"/>
      <c r="AD20" s="3"/>
      <c r="AE20" s="27"/>
    </row>
    <row r="21" spans="1:31" ht="52.8" x14ac:dyDescent="0.3">
      <c r="A21" s="23" t="s">
        <v>202</v>
      </c>
      <c r="B21" s="6">
        <v>45505</v>
      </c>
      <c r="C21" s="3" t="s">
        <v>63</v>
      </c>
      <c r="D21" s="3" t="s">
        <v>164</v>
      </c>
      <c r="E21" s="3" t="s">
        <v>166</v>
      </c>
      <c r="F21" s="3" t="s">
        <v>126</v>
      </c>
      <c r="G21" s="5" t="s">
        <v>56</v>
      </c>
      <c r="H21" s="3" t="s">
        <v>71</v>
      </c>
      <c r="I21" s="3" t="s">
        <v>72</v>
      </c>
      <c r="J21" s="3" t="s">
        <v>75</v>
      </c>
      <c r="K21" s="3"/>
      <c r="L21" s="3"/>
      <c r="M21" s="3"/>
      <c r="N21" s="3"/>
      <c r="O21" s="3"/>
      <c r="P21" s="3"/>
      <c r="Q21" s="3"/>
      <c r="R21" s="3"/>
      <c r="S21" s="3"/>
      <c r="T21" s="3"/>
      <c r="U21" s="3"/>
      <c r="V21" s="3"/>
      <c r="W21" s="3"/>
      <c r="X21" s="3"/>
      <c r="Y21" s="3"/>
      <c r="Z21" s="3"/>
      <c r="AA21" s="3"/>
      <c r="AB21" s="3"/>
      <c r="AC21" s="3"/>
      <c r="AD21" s="3"/>
      <c r="AE21" s="27"/>
    </row>
    <row r="22" spans="1:31" ht="92.4" x14ac:dyDescent="0.3">
      <c r="A22" s="23" t="s">
        <v>203</v>
      </c>
      <c r="B22" s="6">
        <v>45505</v>
      </c>
      <c r="C22" s="3" t="s">
        <v>63</v>
      </c>
      <c r="D22" s="3" t="s">
        <v>164</v>
      </c>
      <c r="E22" s="3" t="s">
        <v>166</v>
      </c>
      <c r="F22" s="3" t="s">
        <v>126</v>
      </c>
      <c r="G22" s="5" t="s">
        <v>36</v>
      </c>
      <c r="H22" s="3" t="s">
        <v>73</v>
      </c>
      <c r="I22" s="3" t="s">
        <v>74</v>
      </c>
      <c r="J22" s="3" t="s">
        <v>76</v>
      </c>
      <c r="K22" s="3"/>
      <c r="L22" s="3"/>
      <c r="M22" s="3"/>
      <c r="N22" s="3"/>
      <c r="O22" s="3"/>
      <c r="P22" s="3"/>
      <c r="Q22" s="3"/>
      <c r="R22" s="3"/>
      <c r="S22" s="3"/>
      <c r="T22" s="3"/>
      <c r="U22" s="3"/>
      <c r="V22" s="3"/>
      <c r="W22" s="3"/>
      <c r="X22" s="3"/>
      <c r="Y22" s="3"/>
      <c r="Z22" s="3"/>
      <c r="AA22" s="3"/>
      <c r="AB22" s="3"/>
      <c r="AC22" s="3"/>
      <c r="AD22" s="3"/>
      <c r="AE22" s="27"/>
    </row>
    <row r="23" spans="1:31" ht="79.2" x14ac:dyDescent="0.3">
      <c r="A23" s="23" t="s">
        <v>204</v>
      </c>
      <c r="B23" s="6">
        <v>45505</v>
      </c>
      <c r="C23" s="3" t="s">
        <v>63</v>
      </c>
      <c r="D23" s="3" t="s">
        <v>164</v>
      </c>
      <c r="E23" s="3" t="s">
        <v>166</v>
      </c>
      <c r="F23" s="3" t="s">
        <v>126</v>
      </c>
      <c r="G23" s="5" t="s">
        <v>56</v>
      </c>
      <c r="H23" s="3" t="s">
        <v>77</v>
      </c>
      <c r="I23" s="3" t="s">
        <v>78</v>
      </c>
      <c r="J23" s="3"/>
      <c r="K23" s="3"/>
      <c r="L23" s="3"/>
      <c r="M23" s="3"/>
      <c r="N23" s="3"/>
      <c r="O23" s="3"/>
      <c r="P23" s="3"/>
      <c r="Q23" s="3"/>
      <c r="R23" s="3"/>
      <c r="S23" s="3"/>
      <c r="T23" s="3"/>
      <c r="U23" s="3"/>
      <c r="V23" s="3"/>
      <c r="W23" s="3"/>
      <c r="X23" s="3"/>
      <c r="Y23" s="3"/>
      <c r="Z23" s="3"/>
      <c r="AA23" s="3"/>
      <c r="AB23" s="3"/>
      <c r="AC23" s="3"/>
      <c r="AD23" s="3"/>
      <c r="AE23" s="27"/>
    </row>
    <row r="24" spans="1:31" ht="52.8" x14ac:dyDescent="0.3">
      <c r="A24" s="23" t="s">
        <v>205</v>
      </c>
      <c r="B24" s="6">
        <v>45413</v>
      </c>
      <c r="C24" s="3" t="s">
        <v>80</v>
      </c>
      <c r="D24" s="3" t="s">
        <v>163</v>
      </c>
      <c r="E24" s="3" t="s">
        <v>167</v>
      </c>
      <c r="F24" s="3" t="s">
        <v>81</v>
      </c>
      <c r="G24" s="5" t="s">
        <v>36</v>
      </c>
      <c r="H24" s="3" t="s">
        <v>82</v>
      </c>
      <c r="I24" s="3" t="s">
        <v>83</v>
      </c>
      <c r="J24" s="3" t="s">
        <v>84</v>
      </c>
      <c r="K24" s="3"/>
      <c r="L24" s="3"/>
      <c r="M24" s="3"/>
      <c r="N24" s="3"/>
      <c r="O24" s="3"/>
      <c r="P24" s="3"/>
      <c r="Q24" s="3"/>
      <c r="R24" s="3"/>
      <c r="S24" s="3"/>
      <c r="T24" s="3"/>
      <c r="U24" s="3"/>
      <c r="V24" s="3"/>
      <c r="W24" s="3"/>
      <c r="X24" s="3"/>
      <c r="Y24" s="3"/>
      <c r="Z24" s="3"/>
      <c r="AA24" s="3"/>
      <c r="AB24" s="3"/>
      <c r="AC24" s="3"/>
      <c r="AD24" s="3"/>
      <c r="AE24" s="27"/>
    </row>
    <row r="25" spans="1:31" ht="52.8" x14ac:dyDescent="0.3">
      <c r="A25" s="28" t="s">
        <v>206</v>
      </c>
      <c r="B25" s="29">
        <v>45413</v>
      </c>
      <c r="C25" s="20" t="s">
        <v>80</v>
      </c>
      <c r="D25" s="20" t="s">
        <v>163</v>
      </c>
      <c r="E25" s="20" t="s">
        <v>167</v>
      </c>
      <c r="F25" s="20" t="s">
        <v>81</v>
      </c>
      <c r="G25" s="21" t="s">
        <v>56</v>
      </c>
      <c r="H25" s="20" t="s">
        <v>85</v>
      </c>
      <c r="I25" s="20" t="s">
        <v>86</v>
      </c>
      <c r="J25" s="20" t="s">
        <v>87</v>
      </c>
      <c r="K25" s="20"/>
      <c r="L25" s="20"/>
      <c r="M25" s="20"/>
      <c r="N25" s="20"/>
      <c r="O25" s="20"/>
      <c r="P25" s="20"/>
      <c r="Q25" s="20"/>
      <c r="R25" s="20"/>
      <c r="S25" s="20"/>
      <c r="T25" s="20"/>
      <c r="U25" s="20"/>
      <c r="V25" s="20"/>
      <c r="W25" s="20"/>
      <c r="X25" s="20"/>
      <c r="Y25" s="20"/>
      <c r="Z25" s="20"/>
      <c r="AA25" s="20"/>
      <c r="AB25" s="20"/>
      <c r="AC25" s="20"/>
      <c r="AD25" s="20"/>
      <c r="AE25" s="30"/>
    </row>
  </sheetData>
  <phoneticPr fontId="6" type="noConversion"/>
  <conditionalFormatting sqref="G1:G1048576">
    <cfRule type="containsText" dxfId="2" priority="3" operator="containsText" text="Bajo">
      <formula>NOT(ISERROR(SEARCH("Bajo",G1)))</formula>
    </cfRule>
    <cfRule type="containsText" dxfId="1" priority="4" operator="containsText" text="Medio">
      <formula>NOT(ISERROR(SEARCH("Medio",G1)))</formula>
    </cfRule>
    <cfRule type="containsText" dxfId="0" priority="5" operator="containsText" text="Alto">
      <formula>NOT(ISERROR(SEARCH("Alto",G1)))</formula>
    </cfRule>
  </conditionalFormatting>
  <dataValidations disablePrompts="1" count="5">
    <dataValidation type="list" allowBlank="1" sqref="R8:R25" xr:uid="{00000000-0002-0000-0000-000001000000}">
      <formula1>"Abierto,En proceso,Cerrado"</formula1>
    </dataValidation>
    <dataValidation type="list" allowBlank="1" sqref="V8:V25 AC8:AC25" xr:uid="{00000000-0002-0000-0000-000002000000}">
      <formula1>"Sí,No"</formula1>
    </dataValidation>
    <dataValidation type="list" allowBlank="1" sqref="Y8:Y25" xr:uid="{00000000-0002-0000-0000-000003000000}">
      <formula1>"Documental,Prueba de control,Reauditoría"</formula1>
    </dataValidation>
    <dataValidation type="list" allowBlank="1" sqref="Z8:Z25" xr:uid="{00000000-0002-0000-0000-000004000000}">
      <formula1>"Eficaz,Parcialmente eficaz,No eficaz"</formula1>
    </dataValidation>
    <dataValidation type="list" allowBlank="1" sqref="G2:G25" xr:uid="{00000000-0002-0000-0000-000000000000}">
      <formula1>"Alto,Medio,Bajo"</formula1>
    </dataValidation>
  </dataValidations>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6" sqref="A6"/>
    </sheetView>
  </sheetViews>
  <sheetFormatPr baseColWidth="10" defaultColWidth="8.77734375" defaultRowHeight="14.4" x14ac:dyDescent="0.3"/>
  <cols>
    <col min="1" max="1" width="18.6640625" bestFit="1" customWidth="1"/>
  </cols>
  <sheetData>
    <row r="1" spans="1:2" x14ac:dyDescent="0.3">
      <c r="A1" s="1" t="s">
        <v>27</v>
      </c>
    </row>
    <row r="3" spans="1:2" x14ac:dyDescent="0.3">
      <c r="A3" t="s">
        <v>28</v>
      </c>
      <c r="B3">
        <f>COUNTIF('Base Hallazgos Aseguramiento'!R:R,"Cerrado")/COUNTA('Base Hallazgos Aseguramiento'!C:C)</f>
        <v>0</v>
      </c>
    </row>
    <row r="4" spans="1:2" x14ac:dyDescent="0.3">
      <c r="A4" t="s">
        <v>29</v>
      </c>
      <c r="B4">
        <f>COUNTIF('Base Hallazgos Aseguramiento'!R:R,"Vencido")/COUNTA('Base Hallazgos Aseguramiento'!C:C)</f>
        <v>0</v>
      </c>
    </row>
    <row r="5" spans="1:2" x14ac:dyDescent="0.3">
      <c r="A5" t="s">
        <v>30</v>
      </c>
      <c r="B5">
        <f>COUNTA('Base Hallazgos Aseguramiento'!C:C)</f>
        <v>25</v>
      </c>
    </row>
    <row r="6" spans="1:2" x14ac:dyDescent="0.3">
      <c r="A6" t="s">
        <v>31</v>
      </c>
      <c r="B6">
        <f>COUNTIF('Base Hallazgos Aseguramiento'!G:G,"Alto")</f>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Hallazgos SIG</vt:lpstr>
      <vt:lpstr>Hoja2</vt:lpstr>
      <vt:lpstr>Base Hallazgos Aseguramiento</vt:lpstr>
      <vt:lpstr>Dashboard_Comité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2026-02-11T20:33:51Z</dcterms:created>
  <dcterms:modified xsi:type="dcterms:W3CDTF">2026-08-26T21:08:46Z</dcterms:modified>
</cp:coreProperties>
</file>