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poligran-my.sharepoint.com/personal/lxisilva_poligran_edu_co/Documents/Documentos/Proyectos/Dashboard_Auditoria/data/"/>
    </mc:Choice>
  </mc:AlternateContent>
  <xr:revisionPtr revIDLastSave="526" documentId="8_{B9D78422-FDFF-47F2-8818-479A70B2C122}" xr6:coauthVersionLast="47" xr6:coauthVersionMax="47" xr10:uidLastSave="{3BDE7E75-6593-42F2-93FF-C4C2C89A87CA}"/>
  <bookViews>
    <workbookView xWindow="-108" yWindow="-108" windowWidth="23256" windowHeight="12456" xr2:uid="{00000000-000D-0000-FFFF-FFFF00000000}"/>
  </bookViews>
  <sheets>
    <sheet name="Base Hallazgos SIG" sheetId="4" r:id="rId1"/>
    <sheet name="Hoja2" sheetId="5" state="hidden" r:id="rId2"/>
    <sheet name="Base Hallazgos Aseguramiento" sheetId="1" r:id="rId3"/>
    <sheet name="Dashboard_Comité" sheetId="2" state="hidden" r:id="rId4"/>
  </sheets>
  <definedNames>
    <definedName name="_xlnm._FilterDatabase" localSheetId="2" hidden="1">'Base Hallazgos Aseguramiento'!$A$1:$AD$206</definedName>
    <definedName name="_xlnm._FilterDatabase" localSheetId="0" hidden="1">'Base Hallazgos SIG'!$A$1:$AF$13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6" i="5"/>
  <c r="B6" i="2"/>
  <c r="B5" i="2"/>
  <c r="Q111" i="1" l="1"/>
  <c r="Q127" i="1"/>
  <c r="S177" i="4"/>
  <c r="S175" i="4"/>
  <c r="S134" i="4"/>
  <c r="S186" i="4"/>
  <c r="S59" i="4"/>
  <c r="Q45" i="1"/>
  <c r="Q197" i="1"/>
  <c r="S56" i="4"/>
  <c r="Q142" i="1"/>
  <c r="Q36" i="1"/>
  <c r="Q189" i="1"/>
  <c r="Q156" i="1"/>
  <c r="Q206" i="1"/>
  <c r="Q65" i="1"/>
  <c r="S114" i="4"/>
  <c r="Q196" i="1"/>
  <c r="Q104" i="1"/>
  <c r="S156" i="4"/>
  <c r="S162" i="4"/>
  <c r="S117" i="4"/>
  <c r="Q205" i="1"/>
  <c r="Q153" i="1"/>
  <c r="S139" i="4"/>
  <c r="S132" i="4"/>
  <c r="S41" i="4"/>
  <c r="Q195" i="1"/>
  <c r="S122" i="4"/>
  <c r="Q182" i="1"/>
  <c r="S189" i="4"/>
  <c r="Q184" i="1"/>
  <c r="Q93" i="1"/>
  <c r="Q200" i="1"/>
  <c r="Q81" i="1"/>
  <c r="S40" i="4"/>
  <c r="S183" i="4"/>
  <c r="Q141" i="1"/>
  <c r="Q13" i="1"/>
  <c r="S135" i="4"/>
  <c r="Q151" i="1"/>
  <c r="S187" i="4"/>
  <c r="Q121" i="1"/>
  <c r="S155" i="4"/>
  <c r="S45" i="4"/>
  <c r="Q168" i="1"/>
  <c r="Q119" i="1"/>
  <c r="S157" i="4"/>
  <c r="S75" i="4"/>
  <c r="Q85" i="1"/>
  <c r="Q20" i="1"/>
  <c r="Q19" i="1"/>
  <c r="S182" i="4"/>
  <c r="Q88" i="1"/>
  <c r="Q190" i="1"/>
  <c r="Q131" i="1"/>
  <c r="Q158" i="1"/>
  <c r="Q166" i="1"/>
  <c r="S193" i="4"/>
  <c r="Q110" i="1"/>
  <c r="S172" i="4"/>
  <c r="Q199" i="1"/>
  <c r="Q112" i="1"/>
  <c r="Q28" i="1"/>
  <c r="S145" i="4"/>
  <c r="Q10" i="1"/>
  <c r="Q33" i="1"/>
  <c r="Q203" i="1"/>
  <c r="Q132" i="1"/>
  <c r="Q82" i="1"/>
  <c r="Q126" i="1"/>
  <c r="S99" i="4"/>
  <c r="S79" i="4"/>
  <c r="S93" i="4"/>
  <c r="Q167" i="1"/>
  <c r="Q155" i="1"/>
  <c r="Q116" i="1"/>
  <c r="S142" i="4"/>
  <c r="S198" i="4"/>
  <c r="S154" i="4"/>
  <c r="Q26" i="1"/>
  <c r="S90" i="4"/>
  <c r="Q109" i="1"/>
  <c r="S81" i="4"/>
  <c r="Q176" i="1"/>
  <c r="Q22" i="1"/>
  <c r="S53" i="4"/>
  <c r="S105" i="4"/>
  <c r="S71" i="4"/>
  <c r="Q90" i="1"/>
  <c r="Q86" i="1"/>
  <c r="Q187" i="1"/>
  <c r="Q62" i="1"/>
  <c r="Q165" i="1"/>
  <c r="Q99" i="1"/>
  <c r="Q120" i="1"/>
  <c r="Q48" i="1"/>
  <c r="S128" i="4"/>
  <c r="S66" i="4"/>
  <c r="S102" i="4"/>
  <c r="S67" i="4"/>
  <c r="Q42" i="1"/>
  <c r="S205" i="4"/>
  <c r="S86" i="4"/>
  <c r="S169" i="4"/>
  <c r="Q74" i="1"/>
  <c r="Q152" i="1"/>
  <c r="S98" i="4"/>
  <c r="S57" i="4"/>
  <c r="Q133" i="1"/>
  <c r="Q58" i="1"/>
  <c r="S50" i="4"/>
  <c r="Q71" i="1"/>
  <c r="S72" i="4"/>
  <c r="S33" i="4"/>
  <c r="Q44" i="1"/>
  <c r="S191" i="4"/>
  <c r="Q46" i="1"/>
  <c r="S144" i="4"/>
  <c r="S73" i="4"/>
  <c r="Q179" i="1"/>
  <c r="S179" i="4"/>
  <c r="Q194" i="1"/>
  <c r="S82" i="4"/>
  <c r="S194" i="4"/>
  <c r="Q145" i="1"/>
  <c r="Q68" i="1"/>
  <c r="Q30" i="1"/>
  <c r="Q202" i="1"/>
  <c r="Q101" i="1"/>
  <c r="S197" i="4"/>
  <c r="Q148" i="1"/>
  <c r="Q139" i="1"/>
  <c r="S115" i="4"/>
  <c r="S123" i="4"/>
  <c r="Q66" i="1"/>
  <c r="S188" i="4"/>
  <c r="S124" i="4"/>
  <c r="Q69" i="1"/>
  <c r="S65" i="4"/>
  <c r="Q53" i="1"/>
  <c r="Q128" i="1"/>
  <c r="S138" i="4"/>
  <c r="S74" i="4"/>
  <c r="S83" i="4"/>
  <c r="Q49" i="1"/>
  <c r="Q113" i="1"/>
  <c r="Q159" i="1"/>
  <c r="S118" i="4"/>
  <c r="S201" i="4"/>
  <c r="Q107" i="1"/>
  <c r="Q177" i="1"/>
  <c r="Q21" i="1"/>
  <c r="S46" i="4"/>
  <c r="S27" i="4"/>
  <c r="S62" i="4"/>
  <c r="Q100" i="1"/>
  <c r="Q23" i="1"/>
  <c r="S149" i="4"/>
  <c r="Q204" i="1"/>
  <c r="Q31" i="1"/>
  <c r="Q77" i="1"/>
  <c r="S31" i="4"/>
  <c r="S47" i="4"/>
  <c r="Q87" i="1"/>
  <c r="Q192" i="1"/>
  <c r="S152" i="4"/>
  <c r="S112" i="4"/>
  <c r="S100" i="4"/>
  <c r="S136" i="4"/>
  <c r="S106" i="4"/>
  <c r="Q40" i="1"/>
  <c r="S203" i="4"/>
  <c r="Q84" i="1"/>
  <c r="S30" i="4"/>
  <c r="Q160" i="1"/>
  <c r="Q11" i="1"/>
  <c r="S126" i="4"/>
  <c r="Q92" i="1"/>
  <c r="S88" i="4"/>
  <c r="Q169" i="1"/>
  <c r="Q134" i="1"/>
  <c r="S70" i="4"/>
  <c r="Q15" i="1"/>
  <c r="Q130" i="1"/>
  <c r="Q137" i="1"/>
  <c r="Q95" i="1"/>
  <c r="S63" i="4"/>
  <c r="S110" i="4"/>
  <c r="Q96" i="1"/>
  <c r="Q97" i="1"/>
  <c r="Q25" i="1"/>
  <c r="Q154" i="1"/>
  <c r="S107" i="4"/>
  <c r="S202" i="4"/>
  <c r="Q80" i="1"/>
  <c r="Q198" i="1"/>
  <c r="S64" i="4"/>
  <c r="S26" i="4"/>
  <c r="S130" i="4"/>
  <c r="S60" i="4"/>
  <c r="S29" i="4"/>
  <c r="Q193" i="1"/>
  <c r="S160" i="4"/>
  <c r="Q114" i="1"/>
  <c r="S92" i="4"/>
  <c r="S180" i="4"/>
  <c r="S150" i="4"/>
  <c r="Q124" i="1"/>
  <c r="S91" i="4"/>
  <c r="Q16" i="1"/>
  <c r="S78" i="4"/>
  <c r="S49" i="4"/>
  <c r="S184" i="4"/>
  <c r="Q157" i="1"/>
  <c r="Q98" i="1"/>
  <c r="Q149" i="1"/>
  <c r="S137" i="4"/>
  <c r="S151" i="4"/>
  <c r="Q61" i="1"/>
  <c r="S96" i="4"/>
  <c r="Q18" i="1"/>
  <c r="S113" i="4"/>
  <c r="Q9" i="1"/>
  <c r="S77" i="4"/>
  <c r="S34" i="4"/>
  <c r="S44" i="4"/>
  <c r="S54" i="4"/>
  <c r="Q17" i="1"/>
  <c r="Q94" i="1"/>
  <c r="Q34" i="1"/>
  <c r="Q35" i="1"/>
  <c r="Q117" i="1"/>
  <c r="S146" i="4"/>
  <c r="Q27" i="1"/>
  <c r="Q60" i="1"/>
  <c r="B3" i="2"/>
  <c r="Q8" i="1"/>
  <c r="B4" i="2"/>
  <c r="Q105" i="1"/>
  <c r="Q129" i="1"/>
  <c r="Q55" i="1"/>
  <c r="Q201" i="1"/>
  <c r="S133" i="4"/>
  <c r="Q183" i="1"/>
  <c r="Q89" i="1"/>
  <c r="S28" i="4"/>
  <c r="Q63" i="1"/>
  <c r="Q164" i="1"/>
  <c r="S140" i="4"/>
  <c r="Q76" i="1"/>
  <c r="Q123" i="1"/>
  <c r="S174" i="4"/>
  <c r="Q79" i="1"/>
  <c r="Q122" i="1"/>
  <c r="S95" i="4"/>
  <c r="Q29" i="1"/>
  <c r="Q32" i="1"/>
  <c r="Q12" i="1"/>
  <c r="Q178" i="1"/>
  <c r="Q185" i="1"/>
  <c r="S125" i="4"/>
  <c r="S173" i="4"/>
  <c r="S127" i="4"/>
  <c r="Q106" i="1"/>
  <c r="S38" i="4"/>
  <c r="Q171" i="1"/>
  <c r="S94" i="4"/>
  <c r="S97" i="4"/>
  <c r="S89" i="4"/>
  <c r="Q56" i="1"/>
  <c r="Q72" i="1"/>
  <c r="S199" i="4"/>
  <c r="S171" i="4"/>
  <c r="Q75" i="1"/>
  <c r="Q180" i="1"/>
  <c r="Q83" i="1"/>
  <c r="S158" i="4"/>
  <c r="S58" i="4"/>
  <c r="S48" i="4"/>
  <c r="Q57" i="1"/>
  <c r="Q163" i="1"/>
  <c r="Q150" i="1"/>
  <c r="Q91" i="1"/>
  <c r="Q143" i="1"/>
  <c r="S37" i="4"/>
  <c r="Q115" i="1"/>
  <c r="S116" i="4"/>
  <c r="S80" i="4"/>
  <c r="S42" i="4"/>
  <c r="S161" i="4"/>
  <c r="S121" i="4"/>
  <c r="S153" i="4"/>
  <c r="S55" i="4"/>
  <c r="Q70" i="1"/>
  <c r="Q118" i="1"/>
  <c r="Q78" i="1"/>
  <c r="S87" i="4"/>
  <c r="Q24" i="1"/>
  <c r="Q108" i="1"/>
  <c r="Q51" i="1"/>
  <c r="S111" i="4"/>
  <c r="Q73" i="1"/>
  <c r="S176" i="4"/>
  <c r="S204" i="4"/>
  <c r="S164" i="4"/>
  <c r="S85" i="4"/>
  <c r="S200" i="4"/>
  <c r="Q54" i="1"/>
  <c r="Q43" i="1"/>
  <c r="S170" i="4"/>
  <c r="Q144" i="1"/>
  <c r="Q39" i="1"/>
  <c r="S143" i="4"/>
  <c r="S185" i="4"/>
  <c r="S167" i="4"/>
  <c r="Q172" i="1"/>
  <c r="S68" i="4"/>
  <c r="Q59" i="1"/>
  <c r="S109" i="4"/>
  <c r="Q188" i="1"/>
  <c r="S36" i="4"/>
  <c r="S168" i="4"/>
  <c r="S190" i="4"/>
  <c r="Q14" i="1"/>
  <c r="Q161" i="1"/>
  <c r="Q136" i="1"/>
  <c r="Q170" i="1"/>
  <c r="Q181" i="1"/>
  <c r="Q67" i="1"/>
  <c r="Q174" i="1"/>
  <c r="Q50" i="1"/>
  <c r="S76" i="4"/>
  <c r="S61" i="4"/>
  <c r="Q138" i="1"/>
  <c r="Q147" i="1"/>
  <c r="S196" i="4"/>
  <c r="S51" i="4"/>
  <c r="S119" i="4"/>
  <c r="Q175" i="1"/>
  <c r="S141" i="4"/>
  <c r="Q173" i="1"/>
  <c r="S131" i="4"/>
  <c r="S84" i="4"/>
  <c r="Q37" i="1"/>
  <c r="Q146" i="1"/>
  <c r="Q135" i="1"/>
  <c r="Q38" i="1"/>
  <c r="S178" i="4"/>
  <c r="S163" i="4"/>
  <c r="S52" i="4"/>
  <c r="Q162" i="1"/>
  <c r="Q186" i="1"/>
  <c r="S35" i="4"/>
  <c r="S101" i="4"/>
  <c r="Q102" i="1"/>
  <c r="S159" i="4"/>
  <c r="S69" i="4"/>
  <c r="S120" i="4"/>
  <c r="S108" i="4"/>
  <c r="S39" i="4"/>
  <c r="S32" i="4"/>
  <c r="S103" i="4"/>
  <c r="S192" i="4"/>
  <c r="S181" i="4"/>
  <c r="S165" i="4"/>
  <c r="S148" i="4"/>
  <c r="Q140" i="1"/>
  <c r="S43" i="4"/>
  <c r="S195" i="4"/>
  <c r="Q125" i="1"/>
  <c r="S147" i="4"/>
  <c r="Q47" i="1"/>
  <c r="Q103" i="1"/>
  <c r="Q41" i="1"/>
  <c r="Q191" i="1"/>
  <c r="Q52" i="1"/>
  <c r="S166" i="4"/>
  <c r="S104" i="4"/>
  <c r="Q64" i="1"/>
  <c r="S129" i="4"/>
</calcChain>
</file>

<file path=xl/sharedStrings.xml><?xml version="1.0" encoding="utf-8"?>
<sst xmlns="http://schemas.openxmlformats.org/spreadsheetml/2006/main" count="309" uniqueCount="165">
  <si>
    <t>Código Hallazgo</t>
  </si>
  <si>
    <t>Responsable del Proceso</t>
  </si>
  <si>
    <t>Fecha de Detección</t>
  </si>
  <si>
    <t>Descripción del Hallazgo</t>
  </si>
  <si>
    <t>Criterio Incumplido</t>
  </si>
  <si>
    <t>Causa Raíz</t>
  </si>
  <si>
    <t>Acción Correctiva</t>
  </si>
  <si>
    <t>Tipo de Acción</t>
  </si>
  <si>
    <t>Responsable de la Acción</t>
  </si>
  <si>
    <t>Área Responsable</t>
  </si>
  <si>
    <t>Fecha Compromiso</t>
  </si>
  <si>
    <t>Evidencia Esperada</t>
  </si>
  <si>
    <t>Indicador de Cumplimiento</t>
  </si>
  <si>
    <t>Estado Automático</t>
  </si>
  <si>
    <t>% Avance</t>
  </si>
  <si>
    <t>Fecha Último Seguimiento</t>
  </si>
  <si>
    <t>Observaciones de Seguimiento</t>
  </si>
  <si>
    <t>Escalado a Dirección</t>
  </si>
  <si>
    <t>Fecha de Escalamiento</t>
  </si>
  <si>
    <t>Fecha Implementación Real</t>
  </si>
  <si>
    <t>Tipo de Validación</t>
  </si>
  <si>
    <t>Resultado de Validación</t>
  </si>
  <si>
    <t>Auditor que Valida</t>
  </si>
  <si>
    <t>Fecha Cierre Oficial</t>
  </si>
  <si>
    <t>Reincidencia</t>
  </si>
  <si>
    <t>Impacto Mitigado</t>
  </si>
  <si>
    <t>Comentarios de Cierre</t>
  </si>
  <si>
    <t>INDICADORES CLAVE</t>
  </si>
  <si>
    <t>% Hallazgos Cerrados</t>
  </si>
  <si>
    <t>% Hallazgos Vencidos</t>
  </si>
  <si>
    <t>Total Hallazgos</t>
  </si>
  <si>
    <t>Hallazgos Alto Riesgo</t>
  </si>
  <si>
    <t>Documental</t>
  </si>
  <si>
    <t>No eficaz</t>
  </si>
  <si>
    <t>Gestión Jurídica y normativa</t>
  </si>
  <si>
    <t>Jaime Sarmiento</t>
  </si>
  <si>
    <t>Alto</t>
  </si>
  <si>
    <t>Incumplimientos en los tiempos de generación de contratos.</t>
  </si>
  <si>
    <t xml:space="preserve">Jurídica tiene un tiempo de 5 días hábiles para atender la solicitud y a su vez el solicitante debe radicar la solicitud por lo menos 5 días antes de iniciar la prestación del servicio. </t>
  </si>
  <si>
    <t>1. Dificultad para exigir o probar las obligaciones pactadas. 
2. Cambios unilaterales, modificar condiciones.
3. Hechos cumplidos.</t>
  </si>
  <si>
    <t>Riesgos Asociados</t>
  </si>
  <si>
    <t xml:space="preserve">Incumplimiento al numeral 4 Condiciones generales del procedimiento Elaboración, revisión, aprobación y control de contratos con proveedores y convenios. </t>
  </si>
  <si>
    <t>Incumplimiento a los lineamientos establecidos en el procedimiento.
DE LA HERRAMIENTA
El proceso de firma de los contratos se efectúa a través de un one drive, ya que la herramienta SIA Admin. no cuenta con la funcionalidad para que sea allí donde se haga el proceso. Adicional la herramienta no tiene restricciones en caso de la falta de documentación o información, por ejemplo, solicitud sin aprobación del comité del gasto (literal c.) Anexo 1</t>
  </si>
  <si>
    <t xml:space="preserve">Incumplimiento a los lineamientos establecidos en el procedimiento.
4.1 DE SOLICITUD Y ELABORACIÓN
Cámara y comercio con más de 30 días (literal e.) Anexo 2
Las solicitudes se están haciendo con menos de 5 días de anterioridad al inicio del contrato, por lo tanto se están gestionando por parte del área jurídica, cuando estos ya han iniciado. (literal f.) Anexo 3 </t>
  </si>
  <si>
    <t xml:space="preserve">Incumplimiento a los lineamientos establecidos en el procedimiento.
4.2 DE REVISIÓN Y APROBACIÓN
Falta de aprobación en la herramienta al proceso por parte del Vicerrector y del jefe directo del solicitante, presentándose solicitudes de contrato en las que solo intervienen uno o dos usuarios( literal d.) Anexo 4
En la herramienta, las solicitudes no se están cerrando, y permanecen en diferentes etapas, lo que dificulta el seguimiento (literales i - j.) Anexo 4
Existen lineamientos para los convenios por descuento, pero no se encuentran formalizados, la comunicación ha sido verbal. Por ejemplo, todos los convenios son del 10% y no pueden superar 1 año de vigencia.
De las 61 solicitudes de contratos revisadas, 15 se encontraban pendientes de firma al 01/09/25. Anexo 5 </t>
  </si>
  <si>
    <t>1. Incumplimientos contractuales.
2. Comprometer recursos sin análisis presupuestal adecuado.
3. Contratar con proveedores inhabilitados o sin representación legal vigente.
4. Duplicidad de procesos, retrasos, afectación a la trazabilidad y falta de control centralizado.
5. Debilidad en la segregación de funciones.</t>
  </si>
  <si>
    <t>Proceso / Subproceso Auditado</t>
  </si>
  <si>
    <t>Mercadeo, admisiones y matrícula / Inscripción, admisión y matrícula de estudiantes nuevos</t>
  </si>
  <si>
    <t xml:space="preserve">Libia Cabra / Ivonne Marin </t>
  </si>
  <si>
    <t xml:space="preserve">Desde el sistema no se cuenta con la trazabilidad del estudiante en las diferentes etapas, como son la admisión y matrícula, la auditoría y la revisión para grados, impidiendo un seguimiento eficaz.  </t>
  </si>
  <si>
    <t>Incumplimiento al numeral 5 del procedimiento de inscripción, admisión y matrícula por parte del asesor de matrícula que indica “efectuar la validación de la documentación suministrada por el aspirante en términos de calidad y completitud”.</t>
  </si>
  <si>
    <t>Excepción a través de un formato de compromiso para admitir y matricular al estudiante, lineamiento que no se encuentra formalizado y al cual no se le efectúa el seguimiento por parte de los asesores, para garantizar la completitud de la documentación.</t>
  </si>
  <si>
    <t xml:space="preserve">No se utiliza de manera adecuada los espacios brindados en el sistema FDI, así los documentos se encuentren con alguna deficiencia o pendientes de entrega, estos en el sistema los marcan como “aprobados”, impidiendo un adecuado seguimiento por parte de registro y control. </t>
  </si>
  <si>
    <t xml:space="preserve">Incumplimiento al procedimiento de “Auditoría de documentación e ingreso de estudiantes” ya que actualmente no se efectúa la validación como se encuentra definida en el documento.  </t>
  </si>
  <si>
    <t xml:space="preserve">Se tienen dos documentos que son el “diploma o acta título convenio” y el “soporte convenio empresarial” para los casos del SENA, adjuntan dos veces el mismo documento, que en este caso es el diploma. </t>
  </si>
  <si>
    <t>Incumplimiento del procedimiento de inscripción, admisión y matrícula</t>
  </si>
  <si>
    <t>Incumplimiento al procedimiento de “Auditoría de documentación e ingreso de estudiantes”</t>
  </si>
  <si>
    <t>Incumplimiento a los procedimientos de inscripción, admisión y matrícula y de Auditoría de documentación e ingreso de estudiantes.</t>
  </si>
  <si>
    <t>Medio</t>
  </si>
  <si>
    <t>Bajo</t>
  </si>
  <si>
    <t xml:space="preserve">Estudiantes próximos a graduarse que presentaron  documentación fraudulenta, o con documentación incompleta. </t>
  </si>
  <si>
    <t xml:space="preserve">Extensión / Gestión de la responsabilidad social </t>
  </si>
  <si>
    <t>Liquidación de comisiones FINCOMERCIO</t>
  </si>
  <si>
    <t>Auditoría</t>
  </si>
  <si>
    <t>Tiempos de contratos</t>
  </si>
  <si>
    <t>Validación de documentación de admisión</t>
  </si>
  <si>
    <t>Comisiones Huella Grancolombiana</t>
  </si>
  <si>
    <t xml:space="preserve">Pago de comisiones sobre matrículas que fueron financiadas a través de FINCOMERCIO. </t>
  </si>
  <si>
    <t>Soportes que no corresponden al trimestre de liquidación</t>
  </si>
  <si>
    <t xml:space="preserve">Se efectúa revisión de los soportes asociados al 1er trimestre de 2021. Encontrando soportes de noviembre y diciembre de 2020, junio 2022, septiembre 2021. Deben ser soportes de enero a marzo de 2021. </t>
  </si>
  <si>
    <t xml:space="preserve">Pagos de comisiones al equipo de huella que no corresponden a convenios de responsabilidad social. </t>
  </si>
  <si>
    <t>Metas sobre estimadas, poco realistas o inconsistentes</t>
  </si>
  <si>
    <t>Desde la implementación del esquema comisional en 2020, se evidencia solo un cumplimiento del 100% y para los demás periodos fue de sobrecumplimiento, teniendo uno del 427% y un promedio del 203%</t>
  </si>
  <si>
    <t xml:space="preserve">Pérdidas de recursos, por pagos de comisiones elevadas, afectación del factor salarial, liquidaciones entre otros. </t>
  </si>
  <si>
    <t>Una matrícula considerada para dos pagos de comisión</t>
  </si>
  <si>
    <t xml:space="preserve">Se evidenció que para la liquidación de la comisión se consideró un mismo estudiante tanto para el asesor del equipo comercial como para el personal de huella. </t>
  </si>
  <si>
    <t>Falta de evidencia respecto a la fuente de información para liquidación de las comisiones</t>
  </si>
  <si>
    <t>En los correos enviados por Diana Alvarez - coordinadora del programa de becas y recaudación de fondos en su momento, informa que no se remitían los soportes “dado que es un gran volumen”. La información enviada eran cuadros con valores y la distribución de las comisiones</t>
  </si>
  <si>
    <t>Pérdidas de recursos por dobles pagos de comisiones</t>
  </si>
  <si>
    <t xml:space="preserve">Errores en los cálculos de la liquidación de las comisiones </t>
  </si>
  <si>
    <t>Falta de controles por parte de las diferentes áreas y personas que intervienen en el proceso</t>
  </si>
  <si>
    <t xml:space="preserve">Falta de validación de la fuente de información desde la dirección de administración laboral y compensación a las liquidaciones de huella grancolombiana. Adicional, los jefes directos realizaban las aprobaciones, pero no se evidencia las revisiones. </t>
  </si>
  <si>
    <t>Criticidad</t>
  </si>
  <si>
    <t>Contratos B2G</t>
  </si>
  <si>
    <t>Mercadeo, admisiones y matrícula / Mercadeo y venta de educación para la vida</t>
  </si>
  <si>
    <t>John Jaime Marin</t>
  </si>
  <si>
    <t>Pendientes actas de liquidación</t>
  </si>
  <si>
    <t xml:space="preserve">Se encuentran pendientes 26 actas de cierre o liquidación de  proyectos, desde 2022. </t>
  </si>
  <si>
    <t xml:space="preserve">Posibles reclamaciones o solicitudes de entregables que las entidades indiquen como pendientes. </t>
  </si>
  <si>
    <t>Auto delegación manejo de recursos</t>
  </si>
  <si>
    <t>En la documentación del proyecto de la Secretaría de Educación del Distrito, se encuentra carta de delegación de recursos sin fecha y firmada por John Jaime Marín</t>
  </si>
  <si>
    <t>Inadecuada segregación de funciones.</t>
  </si>
  <si>
    <t>La organización no ha identificado todos los aspectos ambientales asociados a sus actividades, productos y servicios, que puede controlar o influenciar</t>
  </si>
  <si>
    <t>ISO 14001:2015
6.1.2</t>
  </si>
  <si>
    <t>Evidencia</t>
  </si>
  <si>
    <t>Durante la revisión de la matriz de aspectos e impactos ambientales, se evidenció que no se han considerado los aspectos ambientales asociados al personal que realiza teletrabajo, a pesar de que esta condición implica actividades que están bajo la influencia de la organización (por ejemplo, consumo de energía, disposición de residuos, uso de recursos digitales), y que pueden generar impactos ambientales indirectos.</t>
  </si>
  <si>
    <t>SIG</t>
  </si>
  <si>
    <t>Edgar Camilo Chacón</t>
  </si>
  <si>
    <t>ISO 45001:2018
8.1</t>
  </si>
  <si>
    <t>La organización no ha implementado controles operacionales adecuados para asegurar el manejo seguro de productos químicos.</t>
  </si>
  <si>
    <t>Evidencia:
Durante la visita al taller de cerámica, se evidenciaron las siguientes situaciones:
•Las hojas de seguridad (MSDS) de los productos químicos utilizados se encuentran desactualizadas, con fechas superiores a 5 años: “Este documento es propiedad intelectual del POLITECNICO GRANCOLOMBIANO, se prohíbe su reproducción total o
parcial sin la autorización escrita de la Rectoría. TODO DOCUMENTO IMPRESO O DESCARGADO DEL SISTEMA, ES
CONSIDERADO COPIA NO CONTROLADA”.
-Caolín: hoja del año 2017
-Silicato de aluminio: hoja del año 2006
•No se cuenta con un inventario de productos químicos, lo que impide conocer el tipo, cantidad y estado de los insumos utilizados, ni aplicar controles adecuados según su peligrosidad.</t>
  </si>
  <si>
    <t>Alejandro Cardenas</t>
  </si>
  <si>
    <t>ISO 45001:2018
8.1.4.3
ISO 9001:2015
8.4.3</t>
  </si>
  <si>
    <t>La organización no ha asegurado que los servicios contratados que puedan afectar la seguridad y salud en el trabajo se controlen de manera adecuada.</t>
  </si>
  <si>
    <t>Durante la visita de auditoría a la cafetería ubicada en el piso 7 de la sede City Campus, operada por el contratista Freshko, se evidenciaron las siguientes desviaciones:
• Producto procesado el día anterior para perros calientes sin rotulación, lo cual impide su adecuada identificación y control.
• Pulpa de fruta porcionada con rótulo vencido (21-06-2025), lo cual representa una condición insegura en la manipulación y consumo de alimentos.
• Almacenamiento de productos químicos sin cumplir parámetros de compatibilidad, específicamente Detergill (desengrasante) e hipoclorito de sodio, dispuestos juntos sin las separaciones adecuadas, lo cual representa un riesgo químico por posible reacción peligrosa.
• No se evidencia los criterios documentados de supervisión de proveedores tercerizados, para el caso del servicio de limpieza de Casa limpia.</t>
  </si>
  <si>
    <t>ISO 14001:2015 e ISO 45001:2018</t>
  </si>
  <si>
    <t>La organización no ha asegurado un control eficaz para que la información documentada requerida esté disponible, actualizada, identificada y protegida contra el uso de versiones obsoletas.</t>
  </si>
  <si>
    <t>En la enfermería del campus, se encontró una copia impresa del Plan de Manejo de Residuos GMPG1, versión 8, mientras que en el sistema oficial de gestión documental (Kawak) la versión vigente es la 10, lo que evidencia uso potencial de información desactualizada.
El Análisis de Vulnerabilidad y el Procedimiento de Evacuación revisados no presentan fecha de elaboración ni revisión visible, impidiendo verificar su vigencia, aplicabilidad y alineación con los requerimientos actuales del sistema.</t>
  </si>
  <si>
    <t>ISO 45001:2018
8.1.2</t>
  </si>
  <si>
    <t>La organización no ha asegurado la implementación de controles ergonómicos recomendados para la eliminación de peligros y la reducción de riesgos en el puesto de trabajo.</t>
  </si>
  <si>
    <t>Se revisó el Acta de Aceptación y Compromiso firmada por la colaboradora Idali Manquillo Jalvin con fecha de inicio 1 de mayo de 2023. En la inspección del puesto de trabajo realizada en julio de 2023 se recomendó el cambio de escritorio por uno que cumpla con condiciones ergonómicas. A la fecha de auditoría no se ha realizado inspección de seguimiento ni se evidencia implementación del ajuste recomendado.</t>
  </si>
  <si>
    <t>ISO 45001-2018
6.1.2. 1 b)1) 6.1.4 b) 2)</t>
  </si>
  <si>
    <t>La organización no ha identificado los peligros relacionados con infraestructura, equipos del lugar de trabajo.</t>
  </si>
  <si>
    <t>En la Matriz de Peligros y Evaluación de Riesgos de la Escuela de Diseño Industrial, con fecha 14 de julio, se evidenció que:
En el taller de cerámica, no se identificaron los peligros asociados al uso del horno ni a herramientas cortopunzantes.
En el taller de madera, no se consideraron los peligros derivados del uso de herramientas manuales (taladro, pulidora, entre otros).
No se evidencia el seguimiento a la implementación de los controles establecidos en la Matriz de Peligros y Evaluación de Riesgos de la Escuela de Diseño Industrial, con fecha 14 de julio, particularmente en cuanto a la elaboración de procedimientos de trabajo seguro para operaciones como el uso del soldador de punto, horno y torno de pedal y de patada.
Sede Medellín
Verificado el gabinete contraincendios, del cuarto piso, se identifica el extintor despresurizado.</t>
  </si>
  <si>
    <t>SGA</t>
  </si>
  <si>
    <t>SST / SGA</t>
  </si>
  <si>
    <t>SST</t>
  </si>
  <si>
    <t>SGA / SST</t>
  </si>
  <si>
    <t>ICONTEC</t>
  </si>
  <si>
    <t>La organización no aborda los riesgos identificados.</t>
  </si>
  <si>
    <t xml:space="preserve">ISO 9001:2015. 
ISO 14001:2015. 
ISO 45001:2018.
6.3 
8.1 segundo párrafo. 
8.1.3 primer párrafo.  </t>
  </si>
  <si>
    <t>La organización no lleva a cabo los cambios de manera planificada.</t>
  </si>
  <si>
    <t>No se llevó a cabo la planificación del cambio para el reforzamiento estructural del edificio C de la sede Campus.</t>
  </si>
  <si>
    <t>SGA / SGA / SST</t>
  </si>
  <si>
    <t>Acciones / Actividades</t>
  </si>
  <si>
    <r>
      <t xml:space="preserve">Se adquiere la herramienta </t>
    </r>
    <r>
      <rPr>
        <b/>
        <sz val="10"/>
        <color rgb="FF002060"/>
        <rFont val="Century Gothic"/>
        <family val="2"/>
      </rPr>
      <t>Webdox</t>
    </r>
    <r>
      <rPr>
        <sz val="10"/>
        <color rgb="FF002060"/>
        <rFont val="Century Gothic"/>
        <family val="2"/>
      </rPr>
      <t xml:space="preserve"> que actualmente se encuentra en pruebas para salir a producción a partir del 01/03/26. </t>
    </r>
  </si>
  <si>
    <t>Actualización del procedimiento, ajustandolo a la implementación de la herramienta y a los tiempos que tarde la revisión.</t>
  </si>
  <si>
    <t xml:space="preserve">Se adquiere la herramienta Webdox que actualmente se encuentra en pruebas para salir a producción a partir del 01/03/26. </t>
  </si>
  <si>
    <t>Se adquiere la herramienta Webdox que actualmente se encuentra en pruebas para salir a producción a partir del 01/03/26.</t>
  </si>
  <si>
    <t>Se espera en el mes de abril o mayo efectuar seguimiento para evidenciar el funcionamiento y beneficios de la implementación de la herramienta, teniendo en cuenta además la actualización del procedimiento y avance de las capacitaciones a los colaboradores correspondientes</t>
  </si>
  <si>
    <t xml:space="preserve">Juan Carlos Rivera </t>
  </si>
  <si>
    <t>ISO 9001:2015 
Requisito 8.4.3 e)</t>
  </si>
  <si>
    <t>La organización no comunica a los proveedores externos el seguimiento al desempeño.</t>
  </si>
  <si>
    <t>Para el proveedor Convías no se comunicó el resultado de la evaluación de desempeño realizada en junio de 2025.</t>
  </si>
  <si>
    <t>ISO 9001:2015. ISO 14001:2015.
4.4 f). 8.1 primer párrafo.</t>
  </si>
  <si>
    <t>No se evidencia la realización de inspecciones para los contratistas de aseo y vigilancia en la sede de Medellín, tal como se tiene establecido en el control 348 para el riesgo 341 “administración de los contratos de vigilancia, limpieza, concesiones, parqueadero y transporte ejecutada de manera inadecuada”.</t>
  </si>
  <si>
    <t>SGC</t>
  </si>
  <si>
    <t>SGC / SGA</t>
  </si>
  <si>
    <t>ISO 14001:2015. ISO 45001:2015.
8.1 a). 8.1.1 b).</t>
  </si>
  <si>
    <t>La organización no implementa el control de los procesos de acuerdo con los criterios.</t>
  </si>
  <si>
    <t>Se evidencia hoja de seguridad vencida para el almacenamiento de ACPM en la planta de respaldo de City Campus.Durante el recorrido realizado en la sede City Campus se evidencian dos contenedores con sustancia de color oscuro desconocida y sin el etiquetado correspondiente, derivada de las actividades de mantenimiento de la planta de tratamiento de aguas lluvia.</t>
  </si>
  <si>
    <t xml:space="preserve">ISO 14001:2015.
6.1.2
</t>
  </si>
  <si>
    <t>La organización no identifica aspectos ambientales desde una perspectiva de ciclo de vida.</t>
  </si>
  <si>
    <t>En la matriz de aspectos ambientales de 2025 no se evidencia la identificación de aspectos para las fases de diseño y cierre del programa académico de acuerdo con lo establecido en el manual del SIGSIS.</t>
  </si>
  <si>
    <t>Edgar Camilo Chacón / Camilo Coronel</t>
  </si>
  <si>
    <t>Edgar Camilo Chacón / Alejandro Cardenas</t>
  </si>
  <si>
    <t>Camilo Coronel</t>
  </si>
  <si>
    <t>Camilo Coronel / Edgar Camilo Chacón</t>
  </si>
  <si>
    <t>Camilo Coronel / Edgar Camilo Chacón / Alejandro Cardenas</t>
  </si>
  <si>
    <t>Avance</t>
  </si>
  <si>
    <t>Cumplimiento Ley 1581</t>
  </si>
  <si>
    <t>Cumplimiento Ley 2300</t>
  </si>
  <si>
    <t>Política y procedimientos</t>
  </si>
  <si>
    <t>Política de Tratamiento de Datos Personales desactualizada y falta de procedimientos para garantizar el adecuado cumplimiento de la ley. Ley 1581/2012 Art. 17 lit. k -; Decreto1377/2013 Arts. 4, 26; y 27 Decreto1074/2015 Art. 2.2.2.25.3.1</t>
  </si>
  <si>
    <t>Llamadas de Cobranza</t>
  </si>
  <si>
    <t>Ausencia de evidencia objetiva del contenido de las llamadas de cobranza.  Art. 3, 4 y 9</t>
  </si>
  <si>
    <t>Registro de números excluidos (RNE)</t>
  </si>
  <si>
    <t>Se identifican brechas con respecto a la Consulta del Registro de números excluidos, en la plataforma administrada por Comisión de Regulación de comunicaciones (CRC), en unos procesos y actividades específicas. Ley 2300/2023 Art. 2; Decreto 1377/2013 Art. 9</t>
  </si>
  <si>
    <t>Fecha de Cierre</t>
  </si>
  <si>
    <t>No se encuentra una autorización de tratamiento de Datos personales por parte del representante legal de los menores de edad. En el período 20261 ingresaron 1.558 menores de edad entre los 15 y 17 años de edad.</t>
  </si>
  <si>
    <t>Falta de lineamientos para el tratamiento de datos de menores de edad.  Ley 1581/2012 Art. 7; Decreto 1377/2013 Art. 12.</t>
  </si>
  <si>
    <t xml:space="preserve">Actualmente los procesos auditados descargan información que contiene datos privados, bases de que no se encuentran identificadas a nivel institucional, en la ley se describe como el tratamiento la recolección, almacenamiento, uso, circulación y supresión. </t>
  </si>
  <si>
    <t>Control Descargas de Bases de Datos. Ley 1581 de 2012 – Arts. 4 lit. f, 17 lit. d; y 25; Decreto 886 de 2014.</t>
  </si>
  <si>
    <t xml:space="preserve">Contrato con Waysalud pendiente de firma (datos sensibles de salud sin respaldo contractual vigente) y aviso de privacidad de salud no validado por Jurídica. </t>
  </si>
  <si>
    <t>Hecho Cumplido
Ley 1581/2012 Arts. 3, 5, 6 (datos sensibles); Decreto 1377/2013 Art.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</si>
</sst>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sz val="11"/>
      <color rgb="FF002060"/>
      <name val="Century Gothic"/>
      <family val="2"/>
    </font>
    <font>
      <b/>
      <sz val="12"/>
      <color theme="0"/>
      <name val="Century Gothic"/>
      <family val="2"/>
    </font>
    <font>
      <sz val="10"/>
      <color rgb="FF002060"/>
      <name val="Century Gothic"/>
      <family val="2"/>
    </font>
    <font>
      <b/>
      <sz val="10"/>
      <color rgb="FF002060"/>
      <name val="Century Gothic"/>
      <family val="2"/>
    </font>
  </fonts>
  <fills count="4">
    <fill>
      <patternFill patternType="none"/>
    </fill>
    <fill>
      <patternFill patternType="gray125"/>
    </fill>
    <fill>
      <patternFill patternType="solid">
        <fgColor theme="0"/>
        <bgColor indexed="64"/>
      </patternFill>
    </fill>
    <fill>
      <patternFill patternType="solid">
        <fgColor rgb="FF00206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1" fillId="0" borderId="0" xfId="0" applyFont="1"/>
    <xf numFmtId="0" fontId="4" fillId="2" borderId="1" xfId="0" applyFont="1" applyFill="1" applyBorder="1" applyAlignment="1">
      <alignment horizontal="left" vertical="center" wrapText="1"/>
    </xf>
    <xf numFmtId="0" fontId="4" fillId="2"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17" fontId="4" fillId="2" borderId="1" xfId="0" applyNumberFormat="1" applyFont="1" applyFill="1" applyBorder="1" applyAlignment="1">
      <alignment horizontal="center" vertical="center" wrapText="1"/>
    </xf>
    <xf numFmtId="0" fontId="4" fillId="2" borderId="0" xfId="0" applyFont="1" applyFill="1" applyAlignment="1">
      <alignment horizontal="center" vertical="center" wrapText="1"/>
    </xf>
    <xf numFmtId="0" fontId="2" fillId="2" borderId="1" xfId="0" applyFont="1" applyFill="1" applyBorder="1" applyAlignment="1">
      <alignment wrapText="1"/>
    </xf>
    <xf numFmtId="0" fontId="2" fillId="2" borderId="0" xfId="0" applyFont="1" applyFill="1" applyAlignment="1">
      <alignment wrapText="1"/>
    </xf>
    <xf numFmtId="0" fontId="3" fillId="3" borderId="0" xfId="0" applyFont="1" applyFill="1" applyAlignment="1">
      <alignment horizontal="center" vertical="center" wrapText="1"/>
    </xf>
    <xf numFmtId="0" fontId="4" fillId="2" borderId="0" xfId="0" applyFont="1" applyFill="1" applyAlignment="1">
      <alignment vertical="center" wrapText="1"/>
    </xf>
    <xf numFmtId="0" fontId="2" fillId="2" borderId="1" xfId="0" applyFont="1" applyFill="1" applyBorder="1" applyAlignment="1">
      <alignment horizontal="center" wrapText="1"/>
    </xf>
    <xf numFmtId="0" fontId="2" fillId="2" borderId="0" xfId="0" applyFont="1" applyFill="1" applyAlignment="1">
      <alignment horizontal="center" wrapText="1"/>
    </xf>
    <xf numFmtId="0" fontId="0" fillId="2" borderId="1" xfId="0" applyFill="1" applyBorder="1"/>
    <xf numFmtId="0" fontId="0" fillId="2" borderId="0" xfId="0" applyFill="1"/>
    <xf numFmtId="9" fontId="4" fillId="2" borderId="1" xfId="0" applyNumberFormat="1" applyFont="1" applyFill="1" applyBorder="1" applyAlignment="1">
      <alignment horizontal="center" vertical="center" wrapText="1"/>
    </xf>
    <xf numFmtId="10" fontId="4" fillId="2" borderId="1" xfId="0" applyNumberFormat="1" applyFont="1" applyFill="1" applyBorder="1" applyAlignment="1">
      <alignment vertical="center" wrapText="1"/>
    </xf>
    <xf numFmtId="10" fontId="4" fillId="2" borderId="1" xfId="0" applyNumberFormat="1" applyFont="1" applyFill="1" applyBorder="1" applyAlignment="1">
      <alignment horizontal="center" vertical="center" wrapText="1"/>
    </xf>
    <xf numFmtId="9" fontId="0" fillId="2" borderId="0" xfId="0" applyNumberFormat="1" applyFill="1"/>
    <xf numFmtId="0" fontId="4" fillId="0" borderId="1" xfId="0" applyFont="1" applyBorder="1" applyAlignment="1">
      <alignment horizontal="center" vertical="center" wrapText="1"/>
    </xf>
    <xf numFmtId="17" fontId="4" fillId="0" borderId="1" xfId="0" applyNumberFormat="1" applyFont="1" applyBorder="1" applyAlignment="1">
      <alignment horizontal="center" vertical="center" wrapText="1"/>
    </xf>
    <xf numFmtId="0" fontId="4" fillId="0" borderId="0" xfId="0" applyFont="1" applyAlignment="1">
      <alignment horizontal="center" vertical="center" wrapText="1"/>
    </xf>
    <xf numFmtId="0" fontId="4" fillId="0" borderId="2" xfId="0" applyFont="1" applyBorder="1" applyAlignment="1">
      <alignment horizontal="center" vertical="center" wrapText="1"/>
    </xf>
    <xf numFmtId="0" fontId="4"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4" fillId="2" borderId="4" xfId="0" applyFont="1" applyFill="1" applyBorder="1" applyAlignment="1">
      <alignment horizontal="center" vertical="center" wrapText="1"/>
    </xf>
    <xf numFmtId="17" fontId="4" fillId="2" borderId="2" xfId="0" applyNumberFormat="1" applyFont="1" applyFill="1" applyBorder="1" applyAlignment="1">
      <alignment vertical="center" wrapText="1"/>
    </xf>
    <xf numFmtId="0" fontId="4" fillId="2" borderId="2" xfId="0" applyFont="1" applyFill="1" applyBorder="1" applyAlignment="1">
      <alignment vertical="center" wrapText="1"/>
    </xf>
  </cellXfs>
  <cellStyles count="1">
    <cellStyle name="Normal" xfId="0" builtinId="0"/>
  </cellStyles>
  <dxfs count="3">
    <dxf>
      <fill>
        <patternFill>
          <bgColor rgb="FFFF0000"/>
        </patternFill>
      </fill>
    </dxf>
    <dxf>
      <fill>
        <patternFill>
          <bgColor rgb="FFFFC000"/>
        </patternFill>
      </fill>
    </dxf>
    <dxf>
      <fill>
        <patternFill>
          <bgColor rgb="FF92D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792B3-42C8-4F5F-876D-A137B68C9789}">
  <dimension ref="A1:AF205"/>
  <sheetViews>
    <sheetView tabSelected="1" zoomScale="80" zoomScaleNormal="80" workbookViewId="0">
      <pane ySplit="1" topLeftCell="A8" activePane="bottomLeft" state="frozen"/>
      <selection pane="bottomLeft"/>
    </sheetView>
  </sheetViews>
  <sheetFormatPr baseColWidth="10" defaultColWidth="8.77734375" defaultRowHeight="14.4" x14ac:dyDescent="0.3"/>
  <cols>
    <col min="1" max="1" width="10.88671875" style="9" customWidth="1"/>
    <col min="2" max="2" width="13.88671875" style="9" customWidth="1"/>
    <col min="3" max="3" width="16.88671875" style="13" customWidth="1"/>
    <col min="4" max="4" width="14.88671875" style="9" customWidth="1"/>
    <col min="5" max="5" width="15.33203125" style="9" customWidth="1"/>
    <col min="6" max="6" width="16.21875" style="9" customWidth="1"/>
    <col min="7" max="7" width="25" style="9" customWidth="1"/>
    <col min="8" max="8" width="64.33203125" style="15" customWidth="1"/>
    <col min="9" max="9" width="22" style="9" customWidth="1"/>
    <col min="10" max="10" width="47.33203125" style="9" customWidth="1"/>
    <col min="11" max="12" width="22" style="13" customWidth="1"/>
    <col min="13" max="13" width="22" style="9" customWidth="1"/>
    <col min="14" max="14" width="29.109375" style="9" bestFit="1" customWidth="1"/>
    <col min="15" max="32" width="22" style="9" customWidth="1"/>
    <col min="33" max="16384" width="8.77734375" style="9"/>
  </cols>
  <sheetData>
    <row r="1" spans="1:32" s="10" customFormat="1" ht="45" x14ac:dyDescent="0.3">
      <c r="A1" s="4" t="s">
        <v>0</v>
      </c>
      <c r="B1" s="4" t="s">
        <v>2</v>
      </c>
      <c r="C1" s="10" t="s">
        <v>63</v>
      </c>
      <c r="D1" s="4" t="s">
        <v>46</v>
      </c>
      <c r="E1" s="4" t="s">
        <v>1</v>
      </c>
      <c r="F1" s="4" t="s">
        <v>4</v>
      </c>
      <c r="G1" s="4" t="s">
        <v>3</v>
      </c>
      <c r="H1" s="4" t="s">
        <v>94</v>
      </c>
      <c r="I1" s="4" t="s">
        <v>5</v>
      </c>
      <c r="J1" s="4" t="s">
        <v>40</v>
      </c>
      <c r="K1" s="4" t="s">
        <v>6</v>
      </c>
      <c r="L1" s="4" t="s">
        <v>149</v>
      </c>
      <c r="M1" s="4" t="s">
        <v>7</v>
      </c>
      <c r="N1" s="4" t="s">
        <v>8</v>
      </c>
      <c r="O1" s="4" t="s">
        <v>9</v>
      </c>
      <c r="P1" s="4" t="s">
        <v>10</v>
      </c>
      <c r="Q1" s="4" t="s">
        <v>11</v>
      </c>
      <c r="R1" s="4" t="s">
        <v>12</v>
      </c>
      <c r="S1" s="4" t="s">
        <v>13</v>
      </c>
      <c r="T1" s="4" t="s">
        <v>14</v>
      </c>
      <c r="U1" s="4" t="s">
        <v>15</v>
      </c>
      <c r="V1" s="4" t="s">
        <v>16</v>
      </c>
      <c r="W1" s="4" t="s">
        <v>17</v>
      </c>
      <c r="X1" s="4" t="s">
        <v>18</v>
      </c>
      <c r="Y1" s="4" t="s">
        <v>19</v>
      </c>
      <c r="Z1" s="4" t="s">
        <v>20</v>
      </c>
      <c r="AA1" s="4" t="s">
        <v>21</v>
      </c>
      <c r="AB1" s="4" t="s">
        <v>22</v>
      </c>
      <c r="AC1" s="4" t="s">
        <v>23</v>
      </c>
      <c r="AD1" s="4" t="s">
        <v>24</v>
      </c>
      <c r="AE1" s="4" t="s">
        <v>25</v>
      </c>
      <c r="AF1" s="4" t="s">
        <v>26</v>
      </c>
    </row>
    <row r="2" spans="1:32" s="7" customFormat="1" ht="92.4" x14ac:dyDescent="0.3">
      <c r="A2" s="5"/>
      <c r="B2" s="6">
        <v>45855</v>
      </c>
      <c r="C2" s="5" t="s">
        <v>96</v>
      </c>
      <c r="D2" s="5" t="s">
        <v>114</v>
      </c>
      <c r="E2" s="5" t="s">
        <v>97</v>
      </c>
      <c r="F2" s="2" t="s">
        <v>93</v>
      </c>
      <c r="G2" s="2" t="s">
        <v>92</v>
      </c>
      <c r="H2" s="2" t="s">
        <v>95</v>
      </c>
      <c r="I2" s="5"/>
      <c r="J2" s="2"/>
      <c r="K2" s="5">
        <v>426</v>
      </c>
      <c r="L2" s="16">
        <v>0.4</v>
      </c>
      <c r="M2" s="5"/>
      <c r="N2" s="5"/>
      <c r="O2" s="5"/>
      <c r="P2" s="5"/>
      <c r="Q2" s="5"/>
      <c r="R2" s="5"/>
      <c r="S2" s="5"/>
      <c r="T2" s="5"/>
      <c r="U2" s="5"/>
      <c r="V2" s="5"/>
      <c r="W2" s="5"/>
      <c r="X2" s="5"/>
      <c r="Y2" s="5"/>
      <c r="Z2" s="5" t="s">
        <v>32</v>
      </c>
      <c r="AA2" s="5" t="s">
        <v>33</v>
      </c>
      <c r="AB2" s="5"/>
      <c r="AC2" s="5"/>
      <c r="AD2" s="5"/>
      <c r="AE2" s="5"/>
      <c r="AF2" s="5"/>
    </row>
    <row r="3" spans="1:32" s="7" customFormat="1" ht="211.2" x14ac:dyDescent="0.3">
      <c r="A3" s="5"/>
      <c r="B3" s="6">
        <v>45855</v>
      </c>
      <c r="C3" s="5" t="s">
        <v>96</v>
      </c>
      <c r="D3" s="5" t="s">
        <v>115</v>
      </c>
      <c r="E3" s="5" t="s">
        <v>144</v>
      </c>
      <c r="F3" s="3" t="s">
        <v>102</v>
      </c>
      <c r="G3" s="3" t="s">
        <v>103</v>
      </c>
      <c r="H3" s="3" t="s">
        <v>104</v>
      </c>
      <c r="I3" s="5"/>
      <c r="J3" s="2"/>
      <c r="K3" s="5">
        <v>429</v>
      </c>
      <c r="L3" s="18">
        <v>0.88890000000000002</v>
      </c>
      <c r="M3" s="5"/>
      <c r="N3" s="5"/>
      <c r="O3" s="5"/>
      <c r="P3" s="5"/>
      <c r="Q3" s="5"/>
      <c r="R3" s="5"/>
      <c r="S3" s="5"/>
      <c r="T3" s="5"/>
      <c r="U3" s="5"/>
      <c r="V3" s="5"/>
      <c r="W3" s="5"/>
      <c r="X3" s="5"/>
      <c r="Y3" s="5"/>
      <c r="Z3" s="5"/>
      <c r="AA3" s="5"/>
      <c r="AB3" s="5"/>
      <c r="AC3" s="5"/>
      <c r="AD3" s="5"/>
      <c r="AE3" s="5"/>
      <c r="AF3" s="5"/>
    </row>
    <row r="4" spans="1:32" s="11" customFormat="1" ht="211.2" x14ac:dyDescent="0.3">
      <c r="A4" s="3"/>
      <c r="B4" s="6">
        <v>45855</v>
      </c>
      <c r="C4" s="5" t="s">
        <v>96</v>
      </c>
      <c r="D4" s="5" t="s">
        <v>116</v>
      </c>
      <c r="E4" s="5" t="s">
        <v>101</v>
      </c>
      <c r="F4" s="3" t="s">
        <v>98</v>
      </c>
      <c r="G4" s="3" t="s">
        <v>99</v>
      </c>
      <c r="H4" s="3" t="s">
        <v>100</v>
      </c>
      <c r="I4" s="3"/>
      <c r="J4" s="3"/>
      <c r="K4" s="5">
        <v>431</v>
      </c>
      <c r="L4" s="16">
        <v>1</v>
      </c>
      <c r="M4" s="3"/>
      <c r="N4" s="3"/>
      <c r="O4" s="3"/>
      <c r="P4" s="3"/>
      <c r="Q4" s="3"/>
      <c r="R4" s="3"/>
      <c r="S4" s="3"/>
      <c r="T4" s="3"/>
      <c r="U4" s="3"/>
      <c r="V4" s="3"/>
      <c r="W4" s="3"/>
      <c r="X4" s="3"/>
      <c r="Y4" s="3"/>
      <c r="Z4" s="3"/>
      <c r="AA4" s="3"/>
      <c r="AB4" s="3"/>
      <c r="AC4" s="3"/>
      <c r="AD4" s="3"/>
      <c r="AE4" s="3"/>
      <c r="AF4" s="3"/>
    </row>
    <row r="5" spans="1:32" s="11" customFormat="1" ht="118.8" x14ac:dyDescent="0.3">
      <c r="A5" s="3"/>
      <c r="B5" s="6">
        <v>45855</v>
      </c>
      <c r="C5" s="5" t="s">
        <v>96</v>
      </c>
      <c r="D5" s="5" t="s">
        <v>117</v>
      </c>
      <c r="E5" s="5" t="s">
        <v>145</v>
      </c>
      <c r="F5" s="3" t="s">
        <v>105</v>
      </c>
      <c r="G5" s="3" t="s">
        <v>106</v>
      </c>
      <c r="H5" s="3" t="s">
        <v>107</v>
      </c>
      <c r="I5" s="3"/>
      <c r="J5" s="3"/>
      <c r="K5" s="5">
        <v>427</v>
      </c>
      <c r="L5" s="16">
        <v>1</v>
      </c>
      <c r="M5" s="3"/>
      <c r="N5" s="3"/>
      <c r="O5" s="3"/>
      <c r="P5" s="3"/>
      <c r="Q5" s="3"/>
      <c r="R5" s="3"/>
      <c r="S5" s="3"/>
      <c r="T5" s="3"/>
      <c r="U5" s="3"/>
      <c r="V5" s="3"/>
      <c r="W5" s="3"/>
      <c r="X5" s="3"/>
      <c r="Y5" s="3"/>
      <c r="Z5" s="3"/>
      <c r="AA5" s="3"/>
      <c r="AB5" s="3"/>
      <c r="AC5" s="3"/>
      <c r="AD5" s="3"/>
      <c r="AE5" s="3"/>
      <c r="AF5" s="3"/>
    </row>
    <row r="6" spans="1:32" s="11" customFormat="1" ht="105.6" x14ac:dyDescent="0.3">
      <c r="A6" s="3"/>
      <c r="B6" s="6">
        <v>45855</v>
      </c>
      <c r="C6" s="5" t="s">
        <v>96</v>
      </c>
      <c r="D6" s="5" t="s">
        <v>116</v>
      </c>
      <c r="E6" s="5" t="s">
        <v>101</v>
      </c>
      <c r="F6" s="3" t="s">
        <v>108</v>
      </c>
      <c r="G6" s="3" t="s">
        <v>109</v>
      </c>
      <c r="H6" s="3" t="s">
        <v>110</v>
      </c>
      <c r="I6" s="3"/>
      <c r="J6" s="3"/>
      <c r="K6" s="5">
        <v>430</v>
      </c>
      <c r="L6" s="16">
        <v>1</v>
      </c>
      <c r="M6" s="3"/>
      <c r="N6" s="3"/>
      <c r="O6" s="3"/>
      <c r="P6" s="3"/>
      <c r="Q6" s="3"/>
      <c r="R6" s="3"/>
      <c r="S6" s="3"/>
      <c r="T6" s="3"/>
      <c r="U6" s="3"/>
      <c r="V6" s="3"/>
      <c r="W6" s="3"/>
      <c r="X6" s="3"/>
      <c r="Y6" s="3"/>
      <c r="Z6" s="3"/>
      <c r="AA6" s="3"/>
      <c r="AB6" s="3"/>
      <c r="AC6" s="3"/>
      <c r="AD6" s="3"/>
      <c r="AE6" s="3"/>
      <c r="AF6" s="3"/>
    </row>
    <row r="7" spans="1:32" s="11" customFormat="1" ht="198" x14ac:dyDescent="0.3">
      <c r="A7" s="3"/>
      <c r="B7" s="6">
        <v>45855</v>
      </c>
      <c r="C7" s="5" t="s">
        <v>96</v>
      </c>
      <c r="D7" s="5" t="s">
        <v>116</v>
      </c>
      <c r="E7" s="5" t="s">
        <v>101</v>
      </c>
      <c r="F7" s="3" t="s">
        <v>111</v>
      </c>
      <c r="G7" s="3" t="s">
        <v>112</v>
      </c>
      <c r="H7" s="3" t="s">
        <v>113</v>
      </c>
      <c r="I7" s="3"/>
      <c r="J7" s="3"/>
      <c r="K7" s="5">
        <v>428</v>
      </c>
      <c r="L7" s="16">
        <v>1</v>
      </c>
      <c r="M7" s="3"/>
      <c r="N7" s="3"/>
      <c r="O7" s="3"/>
      <c r="P7" s="3"/>
      <c r="Q7" s="3"/>
      <c r="R7" s="3"/>
      <c r="S7" s="3"/>
      <c r="T7" s="3"/>
      <c r="U7" s="3"/>
      <c r="V7" s="3"/>
      <c r="W7" s="3"/>
      <c r="X7" s="3"/>
      <c r="Y7" s="3"/>
      <c r="Z7" s="3"/>
      <c r="AA7" s="3"/>
      <c r="AB7" s="3"/>
      <c r="AC7" s="3"/>
      <c r="AD7" s="3"/>
      <c r="AE7" s="3"/>
      <c r="AF7" s="3"/>
    </row>
    <row r="8" spans="1:32" s="11" customFormat="1" ht="66" x14ac:dyDescent="0.3">
      <c r="A8" s="3"/>
      <c r="B8" s="6">
        <v>45962</v>
      </c>
      <c r="C8" s="5" t="s">
        <v>118</v>
      </c>
      <c r="D8" s="5" t="s">
        <v>136</v>
      </c>
      <c r="E8" s="5" t="s">
        <v>146</v>
      </c>
      <c r="F8" s="3" t="s">
        <v>131</v>
      </c>
      <c r="G8" s="3" t="s">
        <v>132</v>
      </c>
      <c r="H8" s="3" t="s">
        <v>133</v>
      </c>
      <c r="I8" s="3"/>
      <c r="J8" s="3"/>
      <c r="K8" s="5">
        <v>452</v>
      </c>
      <c r="L8" s="18">
        <v>0</v>
      </c>
      <c r="M8" s="3"/>
      <c r="N8" s="3"/>
      <c r="O8" s="3"/>
      <c r="P8" s="3"/>
      <c r="Q8" s="3"/>
      <c r="R8" s="3"/>
      <c r="S8" s="3"/>
      <c r="T8" s="3"/>
      <c r="U8" s="3"/>
      <c r="V8" s="3"/>
      <c r="W8" s="3"/>
      <c r="X8" s="3"/>
      <c r="Y8" s="3"/>
      <c r="Z8" s="3"/>
      <c r="AA8" s="3"/>
      <c r="AB8" s="3"/>
      <c r="AC8" s="3"/>
      <c r="AD8" s="3"/>
      <c r="AE8" s="3"/>
      <c r="AF8" s="3"/>
    </row>
    <row r="9" spans="1:32" s="11" customFormat="1" ht="79.2" x14ac:dyDescent="0.3">
      <c r="A9" s="3"/>
      <c r="B9" s="6">
        <v>45962</v>
      </c>
      <c r="C9" s="5" t="s">
        <v>118</v>
      </c>
      <c r="D9" s="5" t="s">
        <v>137</v>
      </c>
      <c r="E9" s="3" t="s">
        <v>147</v>
      </c>
      <c r="F9" s="3" t="s">
        <v>134</v>
      </c>
      <c r="G9" s="3" t="s">
        <v>119</v>
      </c>
      <c r="H9" s="3" t="s">
        <v>135</v>
      </c>
      <c r="I9" s="3"/>
      <c r="J9" s="3"/>
      <c r="K9" s="5">
        <v>449</v>
      </c>
      <c r="L9" s="18">
        <v>7.1400000000000005E-2</v>
      </c>
      <c r="M9" s="3"/>
      <c r="N9" s="3"/>
      <c r="O9" s="3"/>
      <c r="P9" s="3"/>
      <c r="Q9" s="3"/>
      <c r="R9" s="3"/>
      <c r="S9" s="3"/>
      <c r="T9" s="3"/>
      <c r="U9" s="3"/>
      <c r="V9" s="3"/>
      <c r="W9" s="3"/>
      <c r="X9" s="3"/>
      <c r="Y9" s="3"/>
      <c r="Z9" s="3"/>
      <c r="AA9" s="3"/>
      <c r="AB9" s="3"/>
      <c r="AC9" s="3"/>
      <c r="AD9" s="3"/>
      <c r="AE9" s="3"/>
      <c r="AF9" s="3"/>
    </row>
    <row r="10" spans="1:32" s="11" customFormat="1" ht="105.6" x14ac:dyDescent="0.3">
      <c r="A10" s="3"/>
      <c r="B10" s="6">
        <v>45962</v>
      </c>
      <c r="C10" s="5" t="s">
        <v>118</v>
      </c>
      <c r="D10" s="3" t="s">
        <v>123</v>
      </c>
      <c r="E10" s="3" t="s">
        <v>148</v>
      </c>
      <c r="F10" s="3" t="s">
        <v>120</v>
      </c>
      <c r="G10" s="3" t="s">
        <v>121</v>
      </c>
      <c r="H10" s="3" t="s">
        <v>122</v>
      </c>
      <c r="I10" s="3"/>
      <c r="J10" s="3"/>
      <c r="K10" s="5">
        <v>450</v>
      </c>
      <c r="L10" s="18">
        <v>0.12</v>
      </c>
      <c r="M10" s="3"/>
      <c r="N10" s="3"/>
      <c r="O10" s="3"/>
      <c r="P10" s="3"/>
      <c r="Q10" s="3"/>
      <c r="R10" s="3"/>
      <c r="S10" s="3"/>
      <c r="T10" s="3"/>
      <c r="U10" s="3"/>
      <c r="V10" s="3"/>
      <c r="W10" s="3"/>
      <c r="X10" s="3"/>
      <c r="Y10" s="3"/>
      <c r="Z10" s="3"/>
      <c r="AA10" s="3"/>
      <c r="AB10" s="3"/>
      <c r="AC10" s="3"/>
      <c r="AD10" s="3"/>
      <c r="AE10" s="3"/>
      <c r="AF10" s="3"/>
    </row>
    <row r="11" spans="1:32" s="11" customFormat="1" ht="43.05" customHeight="1" x14ac:dyDescent="0.3">
      <c r="A11" s="24"/>
      <c r="B11" s="27">
        <v>45962</v>
      </c>
      <c r="C11" s="28" t="s">
        <v>118</v>
      </c>
      <c r="D11" s="28" t="s">
        <v>117</v>
      </c>
      <c r="E11" s="28" t="s">
        <v>145</v>
      </c>
      <c r="F11" s="28" t="s">
        <v>138</v>
      </c>
      <c r="G11" s="28" t="s">
        <v>139</v>
      </c>
      <c r="H11" s="28" t="s">
        <v>140</v>
      </c>
      <c r="I11" s="3"/>
      <c r="J11" s="3"/>
      <c r="K11" s="5">
        <v>454</v>
      </c>
      <c r="L11" s="18">
        <v>0</v>
      </c>
      <c r="M11" s="3"/>
      <c r="N11" s="3"/>
      <c r="O11" s="3"/>
      <c r="P11" s="3"/>
      <c r="Q11" s="3"/>
      <c r="R11" s="3"/>
      <c r="S11" s="3"/>
      <c r="T11" s="3"/>
      <c r="U11" s="3"/>
      <c r="V11" s="3"/>
      <c r="W11" s="3"/>
      <c r="X11" s="3"/>
      <c r="Y11" s="3"/>
      <c r="Z11" s="3"/>
      <c r="AA11" s="3"/>
      <c r="AB11" s="3"/>
      <c r="AC11" s="3"/>
      <c r="AD11" s="3"/>
      <c r="AE11" s="3"/>
      <c r="AF11" s="3"/>
    </row>
    <row r="12" spans="1:32" s="11" customFormat="1" ht="43.05" customHeight="1" x14ac:dyDescent="0.3">
      <c r="A12" s="26"/>
      <c r="B12" s="27">
        <v>45962</v>
      </c>
      <c r="C12" s="28" t="s">
        <v>118</v>
      </c>
      <c r="D12" s="28" t="s">
        <v>117</v>
      </c>
      <c r="E12" s="28" t="s">
        <v>145</v>
      </c>
      <c r="F12" s="28" t="s">
        <v>138</v>
      </c>
      <c r="G12" s="28" t="s">
        <v>139</v>
      </c>
      <c r="H12" s="28" t="s">
        <v>140</v>
      </c>
      <c r="I12" s="3"/>
      <c r="J12" s="3"/>
      <c r="K12" s="5">
        <v>451</v>
      </c>
      <c r="L12" s="18">
        <v>0.66669999999999996</v>
      </c>
      <c r="M12" s="17"/>
      <c r="N12" s="3"/>
      <c r="O12" s="3"/>
      <c r="P12" s="3"/>
      <c r="Q12" s="3"/>
      <c r="R12" s="3"/>
      <c r="S12" s="3"/>
      <c r="T12" s="3"/>
      <c r="U12" s="3"/>
      <c r="V12" s="3"/>
      <c r="W12" s="3"/>
      <c r="X12" s="3"/>
      <c r="Y12" s="3"/>
      <c r="Z12" s="3"/>
      <c r="AA12" s="3"/>
      <c r="AB12" s="3"/>
      <c r="AC12" s="3"/>
      <c r="AD12" s="3"/>
      <c r="AE12" s="3"/>
      <c r="AF12" s="3"/>
    </row>
    <row r="13" spans="1:32" s="11" customFormat="1" ht="66" x14ac:dyDescent="0.3">
      <c r="A13" s="3"/>
      <c r="B13" s="6">
        <v>45962</v>
      </c>
      <c r="C13" s="5" t="s">
        <v>118</v>
      </c>
      <c r="D13" s="5" t="s">
        <v>114</v>
      </c>
      <c r="E13" s="3" t="s">
        <v>97</v>
      </c>
      <c r="F13" s="3" t="s">
        <v>141</v>
      </c>
      <c r="G13" s="3" t="s">
        <v>142</v>
      </c>
      <c r="H13" s="3" t="s">
        <v>143</v>
      </c>
      <c r="I13" s="3"/>
      <c r="J13" s="3"/>
      <c r="K13" s="5">
        <v>453</v>
      </c>
      <c r="L13" s="18">
        <v>0.11</v>
      </c>
      <c r="M13" s="3"/>
      <c r="N13" s="3"/>
      <c r="O13" s="3"/>
      <c r="P13" s="3"/>
      <c r="Q13" s="3"/>
      <c r="R13" s="3"/>
      <c r="S13" s="3"/>
      <c r="T13" s="3"/>
      <c r="U13" s="3"/>
      <c r="V13" s="3"/>
      <c r="W13" s="3"/>
      <c r="X13" s="3"/>
      <c r="Y13" s="3"/>
      <c r="Z13" s="3"/>
      <c r="AA13" s="3"/>
      <c r="AB13" s="3"/>
      <c r="AC13" s="3"/>
      <c r="AD13" s="3"/>
      <c r="AE13" s="3"/>
      <c r="AF13" s="3"/>
    </row>
    <row r="14" spans="1:32" s="11" customFormat="1" ht="13.2" x14ac:dyDescent="0.3">
      <c r="A14" s="3"/>
      <c r="B14" s="6"/>
      <c r="C14" s="5"/>
      <c r="D14" s="3"/>
      <c r="E14" s="3"/>
      <c r="F14" s="3"/>
      <c r="G14" s="3"/>
      <c r="H14" s="3"/>
      <c r="I14" s="3"/>
      <c r="J14" s="3"/>
      <c r="K14" s="5"/>
      <c r="L14" s="5"/>
      <c r="M14" s="3"/>
      <c r="N14" s="3"/>
      <c r="O14" s="3"/>
      <c r="P14" s="3"/>
      <c r="Q14" s="3"/>
      <c r="R14" s="3"/>
      <c r="S14" s="3"/>
      <c r="T14" s="3"/>
      <c r="U14" s="3"/>
      <c r="V14" s="3"/>
      <c r="W14" s="3"/>
      <c r="X14" s="3"/>
      <c r="Y14" s="3"/>
      <c r="Z14" s="3"/>
      <c r="AA14" s="3"/>
      <c r="AB14" s="3"/>
      <c r="AC14" s="3"/>
      <c r="AD14" s="3"/>
      <c r="AE14" s="3"/>
      <c r="AF14" s="3"/>
    </row>
    <row r="15" spans="1:32" s="11" customFormat="1" ht="13.2" x14ac:dyDescent="0.3">
      <c r="A15" s="3"/>
      <c r="B15" s="6"/>
      <c r="C15" s="5"/>
      <c r="D15" s="3"/>
      <c r="E15" s="3"/>
      <c r="F15" s="3"/>
      <c r="G15" s="3"/>
      <c r="H15" s="3"/>
      <c r="I15" s="3"/>
      <c r="J15" s="3"/>
      <c r="K15" s="5"/>
      <c r="L15" s="5"/>
      <c r="M15" s="3"/>
      <c r="N15" s="3"/>
      <c r="O15" s="3"/>
      <c r="P15" s="3"/>
      <c r="Q15" s="3"/>
      <c r="R15" s="3"/>
      <c r="S15" s="3"/>
      <c r="T15" s="3"/>
      <c r="U15" s="3"/>
      <c r="V15" s="3"/>
      <c r="W15" s="3"/>
      <c r="X15" s="3"/>
      <c r="Y15" s="3"/>
      <c r="Z15" s="3"/>
      <c r="AA15" s="3"/>
      <c r="AB15" s="3"/>
      <c r="AC15" s="3"/>
      <c r="AD15" s="3"/>
      <c r="AE15" s="3"/>
      <c r="AF15" s="3"/>
    </row>
    <row r="16" spans="1:32" s="11" customFormat="1" ht="13.2" x14ac:dyDescent="0.3">
      <c r="A16" s="3"/>
      <c r="B16" s="6"/>
      <c r="C16" s="5"/>
      <c r="D16" s="3"/>
      <c r="E16" s="3"/>
      <c r="F16" s="3"/>
      <c r="G16" s="3"/>
      <c r="H16" s="3"/>
      <c r="I16" s="3"/>
      <c r="J16" s="3"/>
      <c r="K16" s="5"/>
      <c r="L16" s="5"/>
      <c r="M16" s="3"/>
      <c r="N16" s="3"/>
      <c r="O16" s="3"/>
      <c r="P16" s="3"/>
      <c r="Q16" s="3"/>
      <c r="R16" s="3"/>
      <c r="S16" s="3"/>
      <c r="T16" s="3"/>
      <c r="U16" s="3"/>
      <c r="V16" s="3"/>
      <c r="W16" s="3"/>
      <c r="X16" s="3"/>
      <c r="Y16" s="3"/>
      <c r="Z16" s="3"/>
      <c r="AA16" s="3"/>
      <c r="AB16" s="3"/>
      <c r="AC16" s="3"/>
      <c r="AD16" s="3"/>
      <c r="AE16" s="3"/>
      <c r="AF16" s="3"/>
    </row>
    <row r="17" spans="1:32" s="11" customFormat="1" ht="13.2" x14ac:dyDescent="0.3">
      <c r="A17" s="3"/>
      <c r="B17" s="6"/>
      <c r="C17" s="5"/>
      <c r="D17" s="3"/>
      <c r="E17" s="3"/>
      <c r="F17" s="3"/>
      <c r="G17" s="3"/>
      <c r="H17" s="3"/>
      <c r="I17" s="3"/>
      <c r="J17" s="3"/>
      <c r="K17" s="5"/>
      <c r="L17" s="5"/>
      <c r="M17" s="3"/>
      <c r="N17" s="3"/>
      <c r="O17" s="3"/>
      <c r="P17" s="3"/>
      <c r="Q17" s="3"/>
      <c r="R17" s="3"/>
      <c r="S17" s="3"/>
      <c r="T17" s="3"/>
      <c r="U17" s="3"/>
      <c r="V17" s="3"/>
      <c r="W17" s="3"/>
      <c r="X17" s="3"/>
      <c r="Y17" s="3"/>
      <c r="Z17" s="3"/>
      <c r="AA17" s="3"/>
      <c r="AB17" s="3"/>
      <c r="AC17" s="3"/>
      <c r="AD17" s="3"/>
      <c r="AE17" s="3"/>
      <c r="AF17" s="3"/>
    </row>
    <row r="18" spans="1:32" s="11" customFormat="1" ht="13.2" x14ac:dyDescent="0.3">
      <c r="A18" s="3"/>
      <c r="B18" s="6"/>
      <c r="C18" s="5"/>
      <c r="D18" s="3"/>
      <c r="E18" s="3"/>
      <c r="F18" s="3"/>
      <c r="G18" s="3"/>
      <c r="H18" s="3"/>
      <c r="I18" s="3"/>
      <c r="J18" s="3"/>
      <c r="K18" s="5"/>
      <c r="L18" s="5"/>
      <c r="M18" s="3"/>
      <c r="N18" s="3"/>
      <c r="O18" s="3"/>
      <c r="P18" s="3"/>
      <c r="Q18" s="3"/>
      <c r="R18" s="3"/>
      <c r="S18" s="3"/>
      <c r="T18" s="3"/>
      <c r="U18" s="3"/>
      <c r="V18" s="3"/>
      <c r="W18" s="3"/>
      <c r="X18" s="3"/>
      <c r="Y18" s="3"/>
      <c r="Z18" s="3"/>
      <c r="AA18" s="3"/>
      <c r="AB18" s="3"/>
      <c r="AC18" s="3"/>
      <c r="AD18" s="3"/>
      <c r="AE18" s="3"/>
      <c r="AF18" s="3"/>
    </row>
    <row r="19" spans="1:32" s="11" customFormat="1" ht="13.2" x14ac:dyDescent="0.3">
      <c r="A19" s="3"/>
      <c r="B19" s="6"/>
      <c r="C19" s="5"/>
      <c r="D19" s="3"/>
      <c r="E19" s="3"/>
      <c r="F19" s="3"/>
      <c r="G19" s="3"/>
      <c r="H19" s="3"/>
      <c r="I19" s="3"/>
      <c r="J19" s="3"/>
      <c r="K19" s="5"/>
      <c r="L19" s="5"/>
      <c r="M19" s="3"/>
      <c r="N19" s="3"/>
      <c r="O19" s="3"/>
      <c r="P19" s="3"/>
      <c r="Q19" s="3"/>
      <c r="R19" s="3"/>
      <c r="S19" s="3"/>
      <c r="T19" s="3"/>
      <c r="U19" s="3"/>
      <c r="V19" s="3"/>
      <c r="W19" s="3"/>
      <c r="X19" s="3"/>
      <c r="Y19" s="3"/>
      <c r="Z19" s="3"/>
      <c r="AA19" s="3"/>
      <c r="AB19" s="3"/>
      <c r="AC19" s="3"/>
      <c r="AD19" s="3"/>
      <c r="AE19" s="3"/>
      <c r="AF19" s="3"/>
    </row>
    <row r="20" spans="1:32" s="11" customFormat="1" ht="13.2" x14ac:dyDescent="0.3">
      <c r="A20" s="3"/>
      <c r="B20" s="6"/>
      <c r="C20" s="5"/>
      <c r="D20" s="3"/>
      <c r="E20" s="3"/>
      <c r="F20" s="3"/>
      <c r="G20" s="3"/>
      <c r="H20" s="3"/>
      <c r="I20" s="3"/>
      <c r="J20" s="3"/>
      <c r="K20" s="5"/>
      <c r="L20" s="5"/>
      <c r="M20" s="3"/>
      <c r="N20" s="3"/>
      <c r="O20" s="3"/>
      <c r="P20" s="3"/>
      <c r="Q20" s="3"/>
      <c r="R20" s="3"/>
      <c r="S20" s="3"/>
      <c r="T20" s="3"/>
      <c r="U20" s="3"/>
      <c r="V20" s="3"/>
      <c r="W20" s="3"/>
      <c r="X20" s="3"/>
      <c r="Y20" s="3"/>
      <c r="Z20" s="3"/>
      <c r="AA20" s="3"/>
      <c r="AB20" s="3"/>
      <c r="AC20" s="3"/>
      <c r="AD20" s="3"/>
      <c r="AE20" s="3"/>
      <c r="AF20" s="3"/>
    </row>
    <row r="21" spans="1:32" s="11" customFormat="1" ht="13.2" x14ac:dyDescent="0.3">
      <c r="A21" s="3"/>
      <c r="B21" s="6"/>
      <c r="C21" s="5"/>
      <c r="D21" s="3"/>
      <c r="E21" s="3"/>
      <c r="F21" s="3"/>
      <c r="G21" s="3"/>
      <c r="H21" s="3"/>
      <c r="I21" s="3"/>
      <c r="J21" s="3"/>
      <c r="K21" s="5"/>
      <c r="L21" s="5"/>
      <c r="M21" s="3"/>
      <c r="N21" s="3"/>
      <c r="O21" s="3"/>
      <c r="P21" s="3"/>
      <c r="Q21" s="3"/>
      <c r="R21" s="3"/>
      <c r="S21" s="3"/>
      <c r="T21" s="3"/>
      <c r="U21" s="3"/>
      <c r="V21" s="3"/>
      <c r="W21" s="3"/>
      <c r="X21" s="3"/>
      <c r="Y21" s="3"/>
      <c r="Z21" s="3"/>
      <c r="AA21" s="3"/>
      <c r="AB21" s="3"/>
      <c r="AC21" s="3"/>
      <c r="AD21" s="3"/>
      <c r="AE21" s="3"/>
      <c r="AF21" s="3"/>
    </row>
    <row r="22" spans="1:32" s="11" customFormat="1" ht="13.2" x14ac:dyDescent="0.3">
      <c r="A22" s="3"/>
      <c r="B22" s="6"/>
      <c r="C22" s="5"/>
      <c r="D22" s="3"/>
      <c r="E22" s="3"/>
      <c r="F22" s="3"/>
      <c r="G22" s="3"/>
      <c r="H22" s="3"/>
      <c r="I22" s="3"/>
      <c r="J22" s="3"/>
      <c r="K22" s="5"/>
      <c r="L22" s="5"/>
      <c r="M22" s="3"/>
      <c r="N22" s="3"/>
      <c r="O22" s="3"/>
      <c r="P22" s="3"/>
      <c r="Q22" s="3"/>
      <c r="R22" s="3"/>
      <c r="S22" s="3"/>
      <c r="T22" s="3"/>
      <c r="U22" s="3"/>
      <c r="V22" s="3"/>
      <c r="W22" s="3"/>
      <c r="X22" s="3"/>
      <c r="Y22" s="3"/>
      <c r="Z22" s="3"/>
      <c r="AA22" s="3"/>
      <c r="AB22" s="3"/>
      <c r="AC22" s="3"/>
      <c r="AD22" s="3"/>
      <c r="AE22" s="3"/>
      <c r="AF22" s="3"/>
    </row>
    <row r="23" spans="1:32" s="11" customFormat="1" ht="13.2" x14ac:dyDescent="0.3">
      <c r="A23" s="3"/>
      <c r="B23" s="6"/>
      <c r="C23" s="5"/>
      <c r="D23" s="3"/>
      <c r="E23" s="3"/>
      <c r="F23" s="3"/>
      <c r="G23" s="3"/>
      <c r="H23" s="3"/>
      <c r="I23" s="3"/>
      <c r="J23" s="3"/>
      <c r="K23" s="5"/>
      <c r="L23" s="5"/>
      <c r="M23" s="3"/>
      <c r="N23" s="3"/>
      <c r="O23" s="3"/>
      <c r="P23" s="3"/>
      <c r="Q23" s="3"/>
      <c r="R23" s="3"/>
      <c r="S23" s="3"/>
      <c r="T23" s="3"/>
      <c r="U23" s="3"/>
      <c r="V23" s="3"/>
      <c r="W23" s="3"/>
      <c r="X23" s="3"/>
      <c r="Y23" s="3"/>
      <c r="Z23" s="3"/>
      <c r="AA23" s="3"/>
      <c r="AB23" s="3"/>
      <c r="AC23" s="3"/>
      <c r="AD23" s="3"/>
      <c r="AE23" s="3"/>
      <c r="AF23" s="3"/>
    </row>
    <row r="24" spans="1:32" s="11" customFormat="1" ht="13.2" x14ac:dyDescent="0.3">
      <c r="A24" s="3"/>
      <c r="B24" s="6"/>
      <c r="C24" s="5"/>
      <c r="D24" s="3"/>
      <c r="E24" s="3"/>
      <c r="F24" s="3"/>
      <c r="G24" s="3"/>
      <c r="H24" s="3"/>
      <c r="I24" s="3"/>
      <c r="J24" s="3"/>
      <c r="K24" s="5"/>
      <c r="L24" s="5"/>
      <c r="M24" s="3"/>
      <c r="N24" s="3"/>
      <c r="O24" s="3"/>
      <c r="P24" s="3"/>
      <c r="Q24" s="3"/>
      <c r="R24" s="3"/>
      <c r="S24" s="3"/>
      <c r="T24" s="3"/>
      <c r="U24" s="3"/>
      <c r="V24" s="3"/>
      <c r="W24" s="3"/>
      <c r="X24" s="3"/>
      <c r="Y24" s="3"/>
      <c r="Z24" s="3"/>
      <c r="AA24" s="3"/>
      <c r="AB24" s="3"/>
      <c r="AC24" s="3"/>
      <c r="AD24" s="3"/>
      <c r="AE24" s="3"/>
      <c r="AF24" s="3"/>
    </row>
    <row r="25" spans="1:32" s="11" customFormat="1" ht="13.2" x14ac:dyDescent="0.3">
      <c r="A25" s="3"/>
      <c r="B25" s="3"/>
      <c r="C25" s="5"/>
      <c r="D25" s="3"/>
      <c r="E25" s="3"/>
      <c r="F25" s="3"/>
      <c r="G25" s="3"/>
      <c r="H25" s="3"/>
      <c r="I25" s="3"/>
      <c r="J25" s="3"/>
      <c r="K25" s="5"/>
      <c r="L25" s="5"/>
      <c r="M25" s="3"/>
      <c r="N25" s="3"/>
      <c r="O25" s="3"/>
      <c r="P25" s="3"/>
      <c r="Q25" s="3"/>
      <c r="R25" s="3"/>
      <c r="S25" s="3"/>
      <c r="T25" s="3"/>
      <c r="U25" s="3"/>
      <c r="V25" s="3"/>
      <c r="W25" s="3"/>
      <c r="X25" s="3"/>
      <c r="Y25" s="3"/>
      <c r="Z25" s="3"/>
      <c r="AA25" s="3"/>
      <c r="AB25" s="3"/>
      <c r="AC25" s="3"/>
      <c r="AD25" s="3"/>
      <c r="AE25" s="3"/>
      <c r="AF25" s="3"/>
    </row>
    <row r="26" spans="1:32" s="11" customFormat="1" ht="13.2" x14ac:dyDescent="0.3">
      <c r="A26" s="3"/>
      <c r="B26" s="3"/>
      <c r="C26" s="5"/>
      <c r="D26" s="3"/>
      <c r="E26" s="3"/>
      <c r="F26" s="3"/>
      <c r="G26" s="3"/>
      <c r="H26" s="3"/>
      <c r="I26" s="3"/>
      <c r="J26" s="3"/>
      <c r="K26" s="5"/>
      <c r="L26" s="5"/>
      <c r="M26" s="3"/>
      <c r="N26" s="3"/>
      <c r="O26" s="3"/>
      <c r="P26" s="3"/>
      <c r="Q26" s="3"/>
      <c r="R26" s="3"/>
      <c r="S26" s="3" t="str">
        <f t="shared" ref="S26:S70" ca="1" si="0">IF(AND(P26&lt;TODAY(),S26&lt;&gt;"Cerrado"),"Vencido",S26)</f>
        <v/>
      </c>
      <c r="T26" s="3"/>
      <c r="U26" s="3"/>
      <c r="V26" s="3"/>
      <c r="W26" s="3"/>
      <c r="X26" s="3"/>
      <c r="Y26" s="3"/>
      <c r="Z26" s="3"/>
      <c r="AA26" s="3"/>
      <c r="AB26" s="3"/>
      <c r="AC26" s="3"/>
      <c r="AD26" s="3"/>
      <c r="AE26" s="3"/>
      <c r="AF26" s="3"/>
    </row>
    <row r="27" spans="1:32" s="11" customFormat="1" ht="13.2" x14ac:dyDescent="0.3">
      <c r="A27" s="3"/>
      <c r="B27" s="3"/>
      <c r="C27" s="5"/>
      <c r="D27" s="3"/>
      <c r="E27" s="3"/>
      <c r="F27" s="3"/>
      <c r="G27" s="3"/>
      <c r="H27" s="3"/>
      <c r="I27" s="3"/>
      <c r="J27" s="3"/>
      <c r="K27" s="5"/>
      <c r="L27" s="5"/>
      <c r="M27" s="3"/>
      <c r="N27" s="3"/>
      <c r="O27" s="3"/>
      <c r="P27" s="3"/>
      <c r="Q27" s="3"/>
      <c r="R27" s="3"/>
      <c r="S27" s="3" t="str">
        <f t="shared" ca="1" si="0"/>
        <v/>
      </c>
      <c r="T27" s="3"/>
      <c r="U27" s="3"/>
      <c r="V27" s="3"/>
      <c r="W27" s="3"/>
      <c r="X27" s="3"/>
      <c r="Y27" s="3"/>
      <c r="Z27" s="3"/>
      <c r="AA27" s="3"/>
      <c r="AB27" s="3"/>
      <c r="AC27" s="3"/>
      <c r="AD27" s="3"/>
      <c r="AE27" s="3"/>
      <c r="AF27" s="3"/>
    </row>
    <row r="28" spans="1:32" s="11" customFormat="1" ht="13.2" x14ac:dyDescent="0.3">
      <c r="A28" s="3"/>
      <c r="B28" s="3"/>
      <c r="C28" s="5"/>
      <c r="D28" s="3"/>
      <c r="E28" s="3"/>
      <c r="F28" s="3"/>
      <c r="G28" s="3"/>
      <c r="H28" s="3"/>
      <c r="I28" s="3"/>
      <c r="J28" s="3"/>
      <c r="K28" s="5"/>
      <c r="L28" s="5"/>
      <c r="M28" s="3"/>
      <c r="N28" s="3"/>
      <c r="O28" s="3"/>
      <c r="P28" s="3"/>
      <c r="Q28" s="3"/>
      <c r="R28" s="3"/>
      <c r="S28" s="3" t="str">
        <f t="shared" ca="1" si="0"/>
        <v/>
      </c>
      <c r="T28" s="3"/>
      <c r="U28" s="3"/>
      <c r="V28" s="3"/>
      <c r="W28" s="3"/>
      <c r="X28" s="3"/>
      <c r="Y28" s="3"/>
      <c r="Z28" s="3"/>
      <c r="AA28" s="3"/>
      <c r="AB28" s="3"/>
      <c r="AC28" s="3"/>
      <c r="AD28" s="3"/>
      <c r="AE28" s="3"/>
      <c r="AF28" s="3"/>
    </row>
    <row r="29" spans="1:32" s="11" customFormat="1" ht="13.2" x14ac:dyDescent="0.3">
      <c r="A29" s="3"/>
      <c r="B29" s="3"/>
      <c r="C29" s="5"/>
      <c r="D29" s="3"/>
      <c r="E29" s="3"/>
      <c r="F29" s="3"/>
      <c r="G29" s="3"/>
      <c r="H29" s="3"/>
      <c r="I29" s="3"/>
      <c r="J29" s="3"/>
      <c r="K29" s="5"/>
      <c r="L29" s="5"/>
      <c r="M29" s="3"/>
      <c r="N29" s="3"/>
      <c r="O29" s="3"/>
      <c r="P29" s="3"/>
      <c r="Q29" s="3"/>
      <c r="R29" s="3"/>
      <c r="S29" s="3" t="str">
        <f t="shared" ca="1" si="0"/>
        <v/>
      </c>
      <c r="T29" s="3"/>
      <c r="U29" s="3"/>
      <c r="V29" s="3"/>
      <c r="W29" s="3"/>
      <c r="X29" s="3"/>
      <c r="Y29" s="3"/>
      <c r="Z29" s="3"/>
      <c r="AA29" s="3"/>
      <c r="AB29" s="3"/>
      <c r="AC29" s="3"/>
      <c r="AD29" s="3"/>
      <c r="AE29" s="3"/>
      <c r="AF29" s="3"/>
    </row>
    <row r="30" spans="1:32" s="11" customFormat="1" ht="13.2" x14ac:dyDescent="0.3">
      <c r="A30" s="3"/>
      <c r="B30" s="3"/>
      <c r="C30" s="5"/>
      <c r="D30" s="3"/>
      <c r="E30" s="3"/>
      <c r="F30" s="3"/>
      <c r="G30" s="3"/>
      <c r="H30" s="3"/>
      <c r="I30" s="3"/>
      <c r="J30" s="3"/>
      <c r="K30" s="5"/>
      <c r="L30" s="5"/>
      <c r="M30" s="3"/>
      <c r="N30" s="3"/>
      <c r="O30" s="3"/>
      <c r="P30" s="3"/>
      <c r="Q30" s="3"/>
      <c r="R30" s="3"/>
      <c r="S30" s="3" t="str">
        <f t="shared" ca="1" si="0"/>
        <v/>
      </c>
      <c r="T30" s="3"/>
      <c r="U30" s="3"/>
      <c r="V30" s="3"/>
      <c r="W30" s="3"/>
      <c r="X30" s="3"/>
      <c r="Y30" s="3"/>
      <c r="Z30" s="3"/>
      <c r="AA30" s="3"/>
      <c r="AB30" s="3"/>
      <c r="AC30" s="3"/>
      <c r="AD30" s="3"/>
      <c r="AE30" s="3"/>
      <c r="AF30" s="3"/>
    </row>
    <row r="31" spans="1:32" s="11" customFormat="1" ht="13.2" x14ac:dyDescent="0.3">
      <c r="A31" s="3"/>
      <c r="B31" s="3"/>
      <c r="C31" s="5"/>
      <c r="D31" s="3"/>
      <c r="E31" s="3"/>
      <c r="F31" s="3"/>
      <c r="G31" s="3"/>
      <c r="H31" s="3"/>
      <c r="I31" s="3"/>
      <c r="J31" s="3"/>
      <c r="K31" s="5"/>
      <c r="L31" s="5"/>
      <c r="M31" s="3"/>
      <c r="N31" s="3"/>
      <c r="O31" s="3"/>
      <c r="P31" s="3"/>
      <c r="Q31" s="3"/>
      <c r="R31" s="3"/>
      <c r="S31" s="3" t="str">
        <f t="shared" ca="1" si="0"/>
        <v/>
      </c>
      <c r="T31" s="3"/>
      <c r="U31" s="3"/>
      <c r="V31" s="3"/>
      <c r="W31" s="3"/>
      <c r="X31" s="3"/>
      <c r="Y31" s="3"/>
      <c r="Z31" s="3"/>
      <c r="AA31" s="3"/>
      <c r="AB31" s="3"/>
      <c r="AC31" s="3"/>
      <c r="AD31" s="3"/>
      <c r="AE31" s="3"/>
      <c r="AF31" s="3"/>
    </row>
    <row r="32" spans="1:32" s="11" customFormat="1" ht="13.2" x14ac:dyDescent="0.3">
      <c r="A32" s="3"/>
      <c r="B32" s="3"/>
      <c r="C32" s="5"/>
      <c r="D32" s="3"/>
      <c r="E32" s="3"/>
      <c r="F32" s="3"/>
      <c r="G32" s="3"/>
      <c r="H32" s="3"/>
      <c r="I32" s="3"/>
      <c r="J32" s="3"/>
      <c r="K32" s="5"/>
      <c r="L32" s="5"/>
      <c r="M32" s="3"/>
      <c r="N32" s="3"/>
      <c r="O32" s="3"/>
      <c r="P32" s="3"/>
      <c r="Q32" s="3"/>
      <c r="R32" s="3"/>
      <c r="S32" s="3" t="str">
        <f t="shared" ca="1" si="0"/>
        <v/>
      </c>
      <c r="T32" s="3"/>
      <c r="U32" s="3"/>
      <c r="V32" s="3"/>
      <c r="W32" s="3"/>
      <c r="X32" s="3"/>
      <c r="Y32" s="3"/>
      <c r="Z32" s="3"/>
      <c r="AA32" s="3"/>
      <c r="AB32" s="3"/>
      <c r="AC32" s="3"/>
      <c r="AD32" s="3"/>
      <c r="AE32" s="3"/>
      <c r="AF32" s="3"/>
    </row>
    <row r="33" spans="1:32" s="11" customFormat="1" ht="13.2" x14ac:dyDescent="0.3">
      <c r="A33" s="3"/>
      <c r="B33" s="3"/>
      <c r="C33" s="5"/>
      <c r="D33" s="3"/>
      <c r="E33" s="3"/>
      <c r="F33" s="3"/>
      <c r="G33" s="3"/>
      <c r="H33" s="3"/>
      <c r="I33" s="3"/>
      <c r="J33" s="3"/>
      <c r="K33" s="5"/>
      <c r="L33" s="5"/>
      <c r="M33" s="3"/>
      <c r="N33" s="3"/>
      <c r="O33" s="3"/>
      <c r="P33" s="3"/>
      <c r="Q33" s="3"/>
      <c r="R33" s="3"/>
      <c r="S33" s="3" t="str">
        <f t="shared" ca="1" si="0"/>
        <v/>
      </c>
      <c r="T33" s="3"/>
      <c r="U33" s="3"/>
      <c r="V33" s="3"/>
      <c r="W33" s="3"/>
      <c r="X33" s="3"/>
      <c r="Y33" s="3"/>
      <c r="Z33" s="3"/>
      <c r="AA33" s="3"/>
      <c r="AB33" s="3"/>
      <c r="AC33" s="3"/>
      <c r="AD33" s="3"/>
      <c r="AE33" s="3"/>
      <c r="AF33" s="3"/>
    </row>
    <row r="34" spans="1:32" s="11" customFormat="1" ht="13.2" x14ac:dyDescent="0.3">
      <c r="A34" s="3"/>
      <c r="B34" s="3"/>
      <c r="C34" s="5"/>
      <c r="D34" s="3"/>
      <c r="E34" s="3"/>
      <c r="F34" s="3"/>
      <c r="G34" s="3"/>
      <c r="H34" s="3"/>
      <c r="I34" s="3"/>
      <c r="J34" s="3"/>
      <c r="K34" s="5"/>
      <c r="L34" s="5"/>
      <c r="M34" s="3"/>
      <c r="N34" s="3"/>
      <c r="O34" s="3"/>
      <c r="P34" s="3"/>
      <c r="Q34" s="3"/>
      <c r="R34" s="3"/>
      <c r="S34" s="3" t="str">
        <f t="shared" ca="1" si="0"/>
        <v/>
      </c>
      <c r="T34" s="3"/>
      <c r="U34" s="3"/>
      <c r="V34" s="3"/>
      <c r="W34" s="3"/>
      <c r="X34" s="3"/>
      <c r="Y34" s="3"/>
      <c r="Z34" s="3"/>
      <c r="AA34" s="3"/>
      <c r="AB34" s="3"/>
      <c r="AC34" s="3"/>
      <c r="AD34" s="3"/>
      <c r="AE34" s="3"/>
      <c r="AF34" s="3"/>
    </row>
    <row r="35" spans="1:32" s="11" customFormat="1" ht="13.2" x14ac:dyDescent="0.3">
      <c r="A35" s="3"/>
      <c r="B35" s="3"/>
      <c r="C35" s="5"/>
      <c r="D35" s="3"/>
      <c r="E35" s="3"/>
      <c r="F35" s="3"/>
      <c r="G35" s="3"/>
      <c r="H35" s="3"/>
      <c r="I35" s="3"/>
      <c r="J35" s="3"/>
      <c r="K35" s="5"/>
      <c r="L35" s="5"/>
      <c r="M35" s="3"/>
      <c r="N35" s="3"/>
      <c r="O35" s="3"/>
      <c r="P35" s="3"/>
      <c r="Q35" s="3"/>
      <c r="R35" s="3"/>
      <c r="S35" s="3" t="str">
        <f t="shared" ca="1" si="0"/>
        <v/>
      </c>
      <c r="T35" s="3"/>
      <c r="U35" s="3"/>
      <c r="V35" s="3"/>
      <c r="W35" s="3"/>
      <c r="X35" s="3"/>
      <c r="Y35" s="3"/>
      <c r="Z35" s="3"/>
      <c r="AA35" s="3"/>
      <c r="AB35" s="3"/>
      <c r="AC35" s="3"/>
      <c r="AD35" s="3"/>
      <c r="AE35" s="3"/>
      <c r="AF35" s="3"/>
    </row>
    <row r="36" spans="1:32" s="11" customFormat="1" ht="13.2" x14ac:dyDescent="0.3">
      <c r="A36" s="3"/>
      <c r="B36" s="3"/>
      <c r="C36" s="5"/>
      <c r="D36" s="3"/>
      <c r="E36" s="3"/>
      <c r="F36" s="3"/>
      <c r="G36" s="3"/>
      <c r="H36" s="3"/>
      <c r="I36" s="3"/>
      <c r="J36" s="3"/>
      <c r="K36" s="5"/>
      <c r="L36" s="5"/>
      <c r="M36" s="3"/>
      <c r="N36" s="3"/>
      <c r="O36" s="3"/>
      <c r="P36" s="3"/>
      <c r="Q36" s="3"/>
      <c r="R36" s="3"/>
      <c r="S36" s="3" t="str">
        <f t="shared" ca="1" si="0"/>
        <v/>
      </c>
      <c r="T36" s="3"/>
      <c r="U36" s="3"/>
      <c r="V36" s="3"/>
      <c r="W36" s="3"/>
      <c r="X36" s="3"/>
      <c r="Y36" s="3"/>
      <c r="Z36" s="3"/>
      <c r="AA36" s="3"/>
      <c r="AB36" s="3"/>
      <c r="AC36" s="3"/>
      <c r="AD36" s="3"/>
      <c r="AE36" s="3"/>
      <c r="AF36" s="3"/>
    </row>
    <row r="37" spans="1:32" s="11" customFormat="1" ht="13.2" x14ac:dyDescent="0.3">
      <c r="A37" s="3"/>
      <c r="B37" s="3"/>
      <c r="C37" s="5"/>
      <c r="D37" s="3"/>
      <c r="E37" s="3"/>
      <c r="F37" s="3"/>
      <c r="G37" s="3"/>
      <c r="H37" s="3"/>
      <c r="I37" s="3"/>
      <c r="J37" s="3"/>
      <c r="K37" s="5"/>
      <c r="L37" s="5"/>
      <c r="M37" s="3"/>
      <c r="N37" s="3"/>
      <c r="O37" s="3"/>
      <c r="P37" s="3"/>
      <c r="Q37" s="3"/>
      <c r="R37" s="3"/>
      <c r="S37" s="3" t="str">
        <f t="shared" ca="1" si="0"/>
        <v/>
      </c>
      <c r="T37" s="3"/>
      <c r="U37" s="3"/>
      <c r="V37" s="3"/>
      <c r="W37" s="3"/>
      <c r="X37" s="3"/>
      <c r="Y37" s="3"/>
      <c r="Z37" s="3"/>
      <c r="AA37" s="3"/>
      <c r="AB37" s="3"/>
      <c r="AC37" s="3"/>
      <c r="AD37" s="3"/>
      <c r="AE37" s="3"/>
      <c r="AF37" s="3"/>
    </row>
    <row r="38" spans="1:32" s="11" customFormat="1" ht="13.2" x14ac:dyDescent="0.3">
      <c r="A38" s="3"/>
      <c r="B38" s="3"/>
      <c r="C38" s="5"/>
      <c r="D38" s="3"/>
      <c r="E38" s="3"/>
      <c r="F38" s="3"/>
      <c r="G38" s="3"/>
      <c r="H38" s="3"/>
      <c r="I38" s="3"/>
      <c r="J38" s="3"/>
      <c r="K38" s="5"/>
      <c r="L38" s="5"/>
      <c r="M38" s="3"/>
      <c r="N38" s="3"/>
      <c r="O38" s="3"/>
      <c r="P38" s="3"/>
      <c r="Q38" s="3"/>
      <c r="R38" s="3"/>
      <c r="S38" s="3" t="str">
        <f t="shared" ca="1" si="0"/>
        <v/>
      </c>
      <c r="T38" s="3"/>
      <c r="U38" s="3"/>
      <c r="V38" s="3"/>
      <c r="W38" s="3"/>
      <c r="X38" s="3"/>
      <c r="Y38" s="3"/>
      <c r="Z38" s="3"/>
      <c r="AA38" s="3"/>
      <c r="AB38" s="3"/>
      <c r="AC38" s="3"/>
      <c r="AD38" s="3"/>
      <c r="AE38" s="3"/>
      <c r="AF38" s="3"/>
    </row>
    <row r="39" spans="1:32" s="11" customFormat="1" ht="13.2" x14ac:dyDescent="0.3">
      <c r="A39" s="3"/>
      <c r="B39" s="3"/>
      <c r="C39" s="5"/>
      <c r="D39" s="3"/>
      <c r="E39" s="3"/>
      <c r="F39" s="3"/>
      <c r="G39" s="3"/>
      <c r="H39" s="3"/>
      <c r="I39" s="3"/>
      <c r="J39" s="3"/>
      <c r="K39" s="5"/>
      <c r="L39" s="5"/>
      <c r="M39" s="3"/>
      <c r="N39" s="3"/>
      <c r="O39" s="3"/>
      <c r="P39" s="3"/>
      <c r="Q39" s="3"/>
      <c r="R39" s="3"/>
      <c r="S39" s="3" t="str">
        <f t="shared" ca="1" si="0"/>
        <v/>
      </c>
      <c r="T39" s="3"/>
      <c r="U39" s="3"/>
      <c r="V39" s="3"/>
      <c r="W39" s="3"/>
      <c r="X39" s="3"/>
      <c r="Y39" s="3"/>
      <c r="Z39" s="3"/>
      <c r="AA39" s="3"/>
      <c r="AB39" s="3"/>
      <c r="AC39" s="3"/>
      <c r="AD39" s="3"/>
      <c r="AE39" s="3"/>
      <c r="AF39" s="3"/>
    </row>
    <row r="40" spans="1:32" s="11" customFormat="1" ht="13.2" x14ac:dyDescent="0.3">
      <c r="A40" s="3"/>
      <c r="B40" s="3"/>
      <c r="C40" s="5"/>
      <c r="D40" s="3"/>
      <c r="E40" s="3"/>
      <c r="F40" s="3"/>
      <c r="G40" s="3"/>
      <c r="H40" s="3"/>
      <c r="I40" s="3"/>
      <c r="J40" s="3"/>
      <c r="K40" s="5"/>
      <c r="L40" s="5"/>
      <c r="M40" s="3"/>
      <c r="N40" s="3"/>
      <c r="O40" s="3"/>
      <c r="P40" s="3"/>
      <c r="Q40" s="3"/>
      <c r="R40" s="3"/>
      <c r="S40" s="3" t="str">
        <f t="shared" ca="1" si="0"/>
        <v/>
      </c>
      <c r="T40" s="3"/>
      <c r="U40" s="3"/>
      <c r="V40" s="3"/>
      <c r="W40" s="3"/>
      <c r="X40" s="3"/>
      <c r="Y40" s="3"/>
      <c r="Z40" s="3"/>
      <c r="AA40" s="3"/>
      <c r="AB40" s="3"/>
      <c r="AC40" s="3"/>
      <c r="AD40" s="3"/>
      <c r="AE40" s="3"/>
      <c r="AF40" s="3"/>
    </row>
    <row r="41" spans="1:32" s="11" customFormat="1" ht="13.2" x14ac:dyDescent="0.3">
      <c r="A41" s="3"/>
      <c r="B41" s="3"/>
      <c r="C41" s="5"/>
      <c r="D41" s="3"/>
      <c r="E41" s="3"/>
      <c r="F41" s="3"/>
      <c r="G41" s="3"/>
      <c r="H41" s="3"/>
      <c r="I41" s="3"/>
      <c r="J41" s="3"/>
      <c r="K41" s="5"/>
      <c r="L41" s="5"/>
      <c r="M41" s="3"/>
      <c r="N41" s="3"/>
      <c r="O41" s="3"/>
      <c r="P41" s="3"/>
      <c r="Q41" s="3"/>
      <c r="R41" s="3"/>
      <c r="S41" s="3" t="str">
        <f t="shared" ca="1" si="0"/>
        <v/>
      </c>
      <c r="T41" s="3"/>
      <c r="U41" s="3"/>
      <c r="V41" s="3"/>
      <c r="W41" s="3"/>
      <c r="X41" s="3"/>
      <c r="Y41" s="3"/>
      <c r="Z41" s="3"/>
      <c r="AA41" s="3"/>
      <c r="AB41" s="3"/>
      <c r="AC41" s="3"/>
      <c r="AD41" s="3"/>
      <c r="AE41" s="3"/>
      <c r="AF41" s="3"/>
    </row>
    <row r="42" spans="1:32" s="11" customFormat="1" ht="13.2" x14ac:dyDescent="0.3">
      <c r="A42" s="3"/>
      <c r="B42" s="3"/>
      <c r="C42" s="5"/>
      <c r="D42" s="3"/>
      <c r="E42" s="3"/>
      <c r="F42" s="3"/>
      <c r="G42" s="3"/>
      <c r="H42" s="3"/>
      <c r="I42" s="3"/>
      <c r="J42" s="3"/>
      <c r="K42" s="5"/>
      <c r="L42" s="5"/>
      <c r="M42" s="3"/>
      <c r="N42" s="3"/>
      <c r="O42" s="3"/>
      <c r="P42" s="3"/>
      <c r="Q42" s="3"/>
      <c r="R42" s="3"/>
      <c r="S42" s="3" t="str">
        <f t="shared" ca="1" si="0"/>
        <v/>
      </c>
      <c r="T42" s="3"/>
      <c r="U42" s="3"/>
      <c r="V42" s="3"/>
      <c r="W42" s="3"/>
      <c r="X42" s="3"/>
      <c r="Y42" s="3"/>
      <c r="Z42" s="3"/>
      <c r="AA42" s="3"/>
      <c r="AB42" s="3"/>
      <c r="AC42" s="3"/>
      <c r="AD42" s="3"/>
      <c r="AE42" s="3"/>
      <c r="AF42" s="3"/>
    </row>
    <row r="43" spans="1:32" s="11" customFormat="1" ht="13.2" x14ac:dyDescent="0.3">
      <c r="A43" s="3"/>
      <c r="B43" s="3"/>
      <c r="C43" s="5"/>
      <c r="D43" s="3"/>
      <c r="E43" s="3"/>
      <c r="F43" s="3"/>
      <c r="G43" s="3"/>
      <c r="H43" s="3"/>
      <c r="I43" s="3"/>
      <c r="J43" s="3"/>
      <c r="K43" s="5"/>
      <c r="L43" s="5"/>
      <c r="M43" s="3"/>
      <c r="N43" s="3"/>
      <c r="O43" s="3"/>
      <c r="P43" s="3"/>
      <c r="Q43" s="3"/>
      <c r="R43" s="3"/>
      <c r="S43" s="3" t="str">
        <f t="shared" ca="1" si="0"/>
        <v/>
      </c>
      <c r="T43" s="3"/>
      <c r="U43" s="3"/>
      <c r="V43" s="3"/>
      <c r="W43" s="3"/>
      <c r="X43" s="3"/>
      <c r="Y43" s="3"/>
      <c r="Z43" s="3"/>
      <c r="AA43" s="3"/>
      <c r="AB43" s="3"/>
      <c r="AC43" s="3"/>
      <c r="AD43" s="3"/>
      <c r="AE43" s="3"/>
      <c r="AF43" s="3"/>
    </row>
    <row r="44" spans="1:32" s="11" customFormat="1" ht="13.2" x14ac:dyDescent="0.3">
      <c r="A44" s="3"/>
      <c r="B44" s="3"/>
      <c r="C44" s="5"/>
      <c r="D44" s="3"/>
      <c r="E44" s="3"/>
      <c r="F44" s="3"/>
      <c r="G44" s="3"/>
      <c r="H44" s="3"/>
      <c r="I44" s="3"/>
      <c r="J44" s="3"/>
      <c r="K44" s="5"/>
      <c r="L44" s="5"/>
      <c r="M44" s="3"/>
      <c r="N44" s="3"/>
      <c r="O44" s="3"/>
      <c r="P44" s="3"/>
      <c r="Q44" s="3"/>
      <c r="R44" s="3"/>
      <c r="S44" s="3" t="str">
        <f t="shared" ca="1" si="0"/>
        <v/>
      </c>
      <c r="T44" s="3"/>
      <c r="U44" s="3"/>
      <c r="V44" s="3"/>
      <c r="W44" s="3"/>
      <c r="X44" s="3"/>
      <c r="Y44" s="3"/>
      <c r="Z44" s="3"/>
      <c r="AA44" s="3"/>
      <c r="AB44" s="3"/>
      <c r="AC44" s="3"/>
      <c r="AD44" s="3"/>
      <c r="AE44" s="3"/>
      <c r="AF44" s="3"/>
    </row>
    <row r="45" spans="1:32" x14ac:dyDescent="0.3">
      <c r="A45" s="8"/>
      <c r="B45" s="8"/>
      <c r="C45" s="12"/>
      <c r="D45" s="8"/>
      <c r="E45" s="8"/>
      <c r="F45" s="8"/>
      <c r="G45" s="8"/>
      <c r="H45" s="14"/>
      <c r="I45" s="8"/>
      <c r="J45" s="8"/>
      <c r="K45" s="12"/>
      <c r="L45" s="12"/>
      <c r="M45" s="8"/>
      <c r="N45" s="8"/>
      <c r="O45" s="8"/>
      <c r="P45" s="8"/>
      <c r="Q45" s="8"/>
      <c r="R45" s="8"/>
      <c r="S45" s="8" t="str">
        <f t="shared" ca="1" si="0"/>
        <v/>
      </c>
      <c r="T45" s="8"/>
      <c r="U45" s="8"/>
      <c r="V45" s="8"/>
      <c r="W45" s="8"/>
      <c r="X45" s="8"/>
      <c r="Y45" s="8"/>
      <c r="Z45" s="8"/>
      <c r="AA45" s="8"/>
      <c r="AB45" s="8"/>
      <c r="AC45" s="8"/>
      <c r="AD45" s="8"/>
      <c r="AE45" s="8"/>
      <c r="AF45" s="8"/>
    </row>
    <row r="46" spans="1:32" x14ac:dyDescent="0.3">
      <c r="A46" s="8"/>
      <c r="B46" s="8"/>
      <c r="C46" s="12"/>
      <c r="D46" s="8"/>
      <c r="E46" s="8"/>
      <c r="F46" s="8"/>
      <c r="G46" s="8"/>
      <c r="H46" s="14"/>
      <c r="I46" s="8"/>
      <c r="J46" s="8"/>
      <c r="K46" s="12"/>
      <c r="L46" s="12"/>
      <c r="M46" s="8"/>
      <c r="N46" s="8"/>
      <c r="O46" s="8"/>
      <c r="P46" s="8"/>
      <c r="Q46" s="8"/>
      <c r="R46" s="8"/>
      <c r="S46" s="8" t="str">
        <f t="shared" ca="1" si="0"/>
        <v/>
      </c>
      <c r="T46" s="8"/>
      <c r="U46" s="8"/>
      <c r="V46" s="8"/>
      <c r="W46" s="8"/>
      <c r="X46" s="8"/>
      <c r="Y46" s="8"/>
      <c r="Z46" s="8"/>
      <c r="AA46" s="8"/>
      <c r="AB46" s="8"/>
      <c r="AC46" s="8"/>
      <c r="AD46" s="8"/>
      <c r="AE46" s="8"/>
      <c r="AF46" s="8"/>
    </row>
    <row r="47" spans="1:32" x14ac:dyDescent="0.3">
      <c r="A47" s="8"/>
      <c r="B47" s="8"/>
      <c r="C47" s="12"/>
      <c r="D47" s="8"/>
      <c r="E47" s="8"/>
      <c r="F47" s="8"/>
      <c r="G47" s="8"/>
      <c r="H47" s="14"/>
      <c r="I47" s="8"/>
      <c r="J47" s="8"/>
      <c r="K47" s="12"/>
      <c r="L47" s="12"/>
      <c r="M47" s="8"/>
      <c r="N47" s="8"/>
      <c r="O47" s="8"/>
      <c r="P47" s="8"/>
      <c r="Q47" s="8"/>
      <c r="R47" s="8"/>
      <c r="S47" s="8" t="str">
        <f t="shared" ca="1" si="0"/>
        <v/>
      </c>
      <c r="T47" s="8"/>
      <c r="U47" s="8"/>
      <c r="V47" s="8"/>
      <c r="W47" s="8"/>
      <c r="X47" s="8"/>
      <c r="Y47" s="8"/>
      <c r="Z47" s="8"/>
      <c r="AA47" s="8"/>
      <c r="AB47" s="8"/>
      <c r="AC47" s="8"/>
      <c r="AD47" s="8"/>
      <c r="AE47" s="8"/>
      <c r="AF47" s="8"/>
    </row>
    <row r="48" spans="1:32" x14ac:dyDescent="0.3">
      <c r="A48" s="8"/>
      <c r="B48" s="8"/>
      <c r="C48" s="12"/>
      <c r="D48" s="8"/>
      <c r="E48" s="8"/>
      <c r="F48" s="8"/>
      <c r="G48" s="8"/>
      <c r="H48" s="14"/>
      <c r="I48" s="8"/>
      <c r="J48" s="8"/>
      <c r="K48" s="12"/>
      <c r="L48" s="12"/>
      <c r="M48" s="8"/>
      <c r="N48" s="8"/>
      <c r="O48" s="8"/>
      <c r="P48" s="8"/>
      <c r="Q48" s="8"/>
      <c r="R48" s="8"/>
      <c r="S48" s="8" t="str">
        <f t="shared" ca="1" si="0"/>
        <v/>
      </c>
      <c r="T48" s="8"/>
      <c r="U48" s="8"/>
      <c r="V48" s="8"/>
      <c r="W48" s="8"/>
      <c r="X48" s="8"/>
      <c r="Y48" s="8"/>
      <c r="Z48" s="8"/>
      <c r="AA48" s="8"/>
      <c r="AB48" s="8"/>
      <c r="AC48" s="8"/>
      <c r="AD48" s="8"/>
      <c r="AE48" s="8"/>
      <c r="AF48" s="8"/>
    </row>
    <row r="49" spans="1:32" x14ac:dyDescent="0.3">
      <c r="A49" s="8"/>
      <c r="B49" s="8"/>
      <c r="C49" s="12"/>
      <c r="D49" s="8"/>
      <c r="E49" s="8"/>
      <c r="F49" s="8"/>
      <c r="G49" s="8"/>
      <c r="H49" s="14"/>
      <c r="I49" s="8"/>
      <c r="J49" s="8"/>
      <c r="K49" s="12"/>
      <c r="L49" s="12"/>
      <c r="M49" s="8"/>
      <c r="N49" s="8"/>
      <c r="O49" s="8"/>
      <c r="P49" s="8"/>
      <c r="Q49" s="8"/>
      <c r="R49" s="8"/>
      <c r="S49" s="8" t="str">
        <f t="shared" ca="1" si="0"/>
        <v/>
      </c>
      <c r="T49" s="8"/>
      <c r="U49" s="8"/>
      <c r="V49" s="8"/>
      <c r="W49" s="8"/>
      <c r="X49" s="8"/>
      <c r="Y49" s="8"/>
      <c r="Z49" s="8"/>
      <c r="AA49" s="8"/>
      <c r="AB49" s="8"/>
      <c r="AC49" s="8"/>
      <c r="AD49" s="8"/>
      <c r="AE49" s="8"/>
      <c r="AF49" s="8"/>
    </row>
    <row r="50" spans="1:32" x14ac:dyDescent="0.3">
      <c r="A50" s="8"/>
      <c r="B50" s="8"/>
      <c r="C50" s="12"/>
      <c r="D50" s="8"/>
      <c r="E50" s="8"/>
      <c r="F50" s="8"/>
      <c r="G50" s="8"/>
      <c r="H50" s="14"/>
      <c r="I50" s="8"/>
      <c r="J50" s="8"/>
      <c r="K50" s="12"/>
      <c r="L50" s="12"/>
      <c r="M50" s="8"/>
      <c r="N50" s="8"/>
      <c r="O50" s="8"/>
      <c r="P50" s="8"/>
      <c r="Q50" s="8"/>
      <c r="R50" s="8"/>
      <c r="S50" s="8" t="str">
        <f t="shared" ca="1" si="0"/>
        <v/>
      </c>
      <c r="T50" s="8"/>
      <c r="U50" s="8"/>
      <c r="V50" s="8"/>
      <c r="W50" s="8"/>
      <c r="X50" s="8"/>
      <c r="Y50" s="8"/>
      <c r="Z50" s="8"/>
      <c r="AA50" s="8"/>
      <c r="AB50" s="8"/>
      <c r="AC50" s="8"/>
      <c r="AD50" s="8"/>
      <c r="AE50" s="8"/>
      <c r="AF50" s="8"/>
    </row>
    <row r="51" spans="1:32" x14ac:dyDescent="0.3">
      <c r="A51" s="8"/>
      <c r="B51" s="8"/>
      <c r="C51" s="12"/>
      <c r="D51" s="8"/>
      <c r="E51" s="8"/>
      <c r="F51" s="8"/>
      <c r="G51" s="8"/>
      <c r="H51" s="14"/>
      <c r="I51" s="8"/>
      <c r="J51" s="8"/>
      <c r="K51" s="12"/>
      <c r="L51" s="12"/>
      <c r="M51" s="8"/>
      <c r="N51" s="8"/>
      <c r="O51" s="8"/>
      <c r="P51" s="8"/>
      <c r="Q51" s="8"/>
      <c r="R51" s="8"/>
      <c r="S51" s="8" t="str">
        <f t="shared" ca="1" si="0"/>
        <v/>
      </c>
      <c r="T51" s="8"/>
      <c r="U51" s="8"/>
      <c r="V51" s="8"/>
      <c r="W51" s="8"/>
      <c r="X51" s="8"/>
      <c r="Y51" s="8"/>
      <c r="Z51" s="8"/>
      <c r="AA51" s="8"/>
      <c r="AB51" s="8"/>
      <c r="AC51" s="8"/>
      <c r="AD51" s="8"/>
      <c r="AE51" s="8"/>
      <c r="AF51" s="8"/>
    </row>
    <row r="52" spans="1:32" x14ac:dyDescent="0.3">
      <c r="A52" s="8"/>
      <c r="B52" s="8"/>
      <c r="C52" s="12"/>
      <c r="D52" s="8"/>
      <c r="E52" s="8"/>
      <c r="F52" s="8"/>
      <c r="G52" s="8"/>
      <c r="H52" s="14"/>
      <c r="I52" s="8"/>
      <c r="J52" s="8"/>
      <c r="K52" s="12"/>
      <c r="L52" s="12"/>
      <c r="M52" s="8"/>
      <c r="N52" s="8"/>
      <c r="O52" s="8"/>
      <c r="P52" s="8"/>
      <c r="Q52" s="8"/>
      <c r="R52" s="8"/>
      <c r="S52" s="8" t="str">
        <f t="shared" ca="1" si="0"/>
        <v/>
      </c>
      <c r="T52" s="8"/>
      <c r="U52" s="8"/>
      <c r="V52" s="8"/>
      <c r="W52" s="8"/>
      <c r="X52" s="8"/>
      <c r="Y52" s="8"/>
      <c r="Z52" s="8"/>
      <c r="AA52" s="8"/>
      <c r="AB52" s="8"/>
      <c r="AC52" s="8"/>
      <c r="AD52" s="8"/>
      <c r="AE52" s="8"/>
      <c r="AF52" s="8"/>
    </row>
    <row r="53" spans="1:32" x14ac:dyDescent="0.3">
      <c r="A53" s="8"/>
      <c r="B53" s="8"/>
      <c r="C53" s="12"/>
      <c r="D53" s="8"/>
      <c r="E53" s="8"/>
      <c r="F53" s="8"/>
      <c r="G53" s="8"/>
      <c r="H53" s="14"/>
      <c r="I53" s="8"/>
      <c r="J53" s="8"/>
      <c r="K53" s="12"/>
      <c r="L53" s="12"/>
      <c r="M53" s="8"/>
      <c r="N53" s="8"/>
      <c r="O53" s="8"/>
      <c r="P53" s="8"/>
      <c r="Q53" s="8"/>
      <c r="R53" s="8"/>
      <c r="S53" s="8" t="str">
        <f t="shared" ca="1" si="0"/>
        <v/>
      </c>
      <c r="T53" s="8"/>
      <c r="U53" s="8"/>
      <c r="V53" s="8"/>
      <c r="W53" s="8"/>
      <c r="X53" s="8"/>
      <c r="Y53" s="8"/>
      <c r="Z53" s="8"/>
      <c r="AA53" s="8"/>
      <c r="AB53" s="8"/>
      <c r="AC53" s="8"/>
      <c r="AD53" s="8"/>
      <c r="AE53" s="8"/>
      <c r="AF53" s="8"/>
    </row>
    <row r="54" spans="1:32" x14ac:dyDescent="0.3">
      <c r="A54" s="8"/>
      <c r="B54" s="8"/>
      <c r="C54" s="12"/>
      <c r="D54" s="8"/>
      <c r="E54" s="8"/>
      <c r="F54" s="8"/>
      <c r="G54" s="8"/>
      <c r="H54" s="14"/>
      <c r="I54" s="8"/>
      <c r="J54" s="8"/>
      <c r="K54" s="12"/>
      <c r="L54" s="12"/>
      <c r="M54" s="8"/>
      <c r="N54" s="8"/>
      <c r="O54" s="8"/>
      <c r="P54" s="8"/>
      <c r="Q54" s="8"/>
      <c r="R54" s="8"/>
      <c r="S54" s="8" t="str">
        <f t="shared" ca="1" si="0"/>
        <v/>
      </c>
      <c r="T54" s="8"/>
      <c r="U54" s="8"/>
      <c r="V54" s="8"/>
      <c r="W54" s="8"/>
      <c r="X54" s="8"/>
      <c r="Y54" s="8"/>
      <c r="Z54" s="8"/>
      <c r="AA54" s="8"/>
      <c r="AB54" s="8"/>
      <c r="AC54" s="8"/>
      <c r="AD54" s="8"/>
      <c r="AE54" s="8"/>
      <c r="AF54" s="8"/>
    </row>
    <row r="55" spans="1:32" x14ac:dyDescent="0.3">
      <c r="A55" s="8"/>
      <c r="B55" s="8"/>
      <c r="C55" s="12"/>
      <c r="D55" s="8"/>
      <c r="E55" s="8"/>
      <c r="F55" s="8"/>
      <c r="G55" s="8"/>
      <c r="H55" s="14"/>
      <c r="I55" s="8"/>
      <c r="J55" s="8"/>
      <c r="K55" s="12"/>
      <c r="L55" s="12"/>
      <c r="M55" s="8"/>
      <c r="N55" s="8"/>
      <c r="O55" s="8"/>
      <c r="P55" s="8"/>
      <c r="Q55" s="8"/>
      <c r="R55" s="8"/>
      <c r="S55" s="8" t="str">
        <f t="shared" ca="1" si="0"/>
        <v/>
      </c>
      <c r="T55" s="8"/>
      <c r="U55" s="8"/>
      <c r="V55" s="8"/>
      <c r="W55" s="8"/>
      <c r="X55" s="8"/>
      <c r="Y55" s="8"/>
      <c r="Z55" s="8"/>
      <c r="AA55" s="8"/>
      <c r="AB55" s="8"/>
      <c r="AC55" s="8"/>
      <c r="AD55" s="8"/>
      <c r="AE55" s="8"/>
      <c r="AF55" s="8"/>
    </row>
    <row r="56" spans="1:32" x14ac:dyDescent="0.3">
      <c r="A56" s="8"/>
      <c r="B56" s="8"/>
      <c r="C56" s="12"/>
      <c r="D56" s="8"/>
      <c r="E56" s="8"/>
      <c r="F56" s="8"/>
      <c r="G56" s="8"/>
      <c r="H56" s="14"/>
      <c r="I56" s="8"/>
      <c r="J56" s="8"/>
      <c r="K56" s="12"/>
      <c r="L56" s="12"/>
      <c r="M56" s="8"/>
      <c r="N56" s="8"/>
      <c r="O56" s="8"/>
      <c r="P56" s="8"/>
      <c r="Q56" s="8"/>
      <c r="R56" s="8"/>
      <c r="S56" s="8" t="str">
        <f t="shared" ca="1" si="0"/>
        <v/>
      </c>
      <c r="T56" s="8"/>
      <c r="U56" s="8"/>
      <c r="V56" s="8"/>
      <c r="W56" s="8"/>
      <c r="X56" s="8"/>
      <c r="Y56" s="8"/>
      <c r="Z56" s="8"/>
      <c r="AA56" s="8"/>
      <c r="AB56" s="8"/>
      <c r="AC56" s="8"/>
      <c r="AD56" s="8"/>
      <c r="AE56" s="8"/>
      <c r="AF56" s="8"/>
    </row>
    <row r="57" spans="1:32" x14ac:dyDescent="0.3">
      <c r="A57" s="8"/>
      <c r="B57" s="8"/>
      <c r="C57" s="12"/>
      <c r="D57" s="8"/>
      <c r="E57" s="8"/>
      <c r="F57" s="8"/>
      <c r="G57" s="8"/>
      <c r="H57" s="14"/>
      <c r="I57" s="8"/>
      <c r="J57" s="8"/>
      <c r="K57" s="12"/>
      <c r="L57" s="12"/>
      <c r="M57" s="8"/>
      <c r="N57" s="8"/>
      <c r="O57" s="8"/>
      <c r="P57" s="8"/>
      <c r="Q57" s="8"/>
      <c r="R57" s="8"/>
      <c r="S57" s="8" t="str">
        <f t="shared" ca="1" si="0"/>
        <v/>
      </c>
      <c r="T57" s="8"/>
      <c r="U57" s="8"/>
      <c r="V57" s="8"/>
      <c r="W57" s="8"/>
      <c r="X57" s="8"/>
      <c r="Y57" s="8"/>
      <c r="Z57" s="8"/>
      <c r="AA57" s="8"/>
      <c r="AB57" s="8"/>
      <c r="AC57" s="8"/>
      <c r="AD57" s="8"/>
      <c r="AE57" s="8"/>
      <c r="AF57" s="8"/>
    </row>
    <row r="58" spans="1:32" x14ac:dyDescent="0.3">
      <c r="S58" s="9" t="str">
        <f t="shared" ca="1" si="0"/>
        <v/>
      </c>
    </row>
    <row r="59" spans="1:32" x14ac:dyDescent="0.3">
      <c r="S59" s="9" t="str">
        <f t="shared" ca="1" si="0"/>
        <v/>
      </c>
    </row>
    <row r="60" spans="1:32" x14ac:dyDescent="0.3">
      <c r="S60" s="9" t="str">
        <f t="shared" ca="1" si="0"/>
        <v/>
      </c>
    </row>
    <row r="61" spans="1:32" x14ac:dyDescent="0.3">
      <c r="S61" s="9" t="str">
        <f t="shared" ca="1" si="0"/>
        <v/>
      </c>
    </row>
    <row r="62" spans="1:32" x14ac:dyDescent="0.3">
      <c r="S62" s="9" t="str">
        <f t="shared" ca="1" si="0"/>
        <v/>
      </c>
    </row>
    <row r="63" spans="1:32" x14ac:dyDescent="0.3">
      <c r="S63" s="9" t="str">
        <f t="shared" ca="1" si="0"/>
        <v/>
      </c>
    </row>
    <row r="64" spans="1:32" x14ac:dyDescent="0.3">
      <c r="S64" s="9" t="str">
        <f t="shared" ca="1" si="0"/>
        <v/>
      </c>
    </row>
    <row r="65" spans="19:19" x14ac:dyDescent="0.3">
      <c r="S65" s="9" t="str">
        <f t="shared" ca="1" si="0"/>
        <v/>
      </c>
    </row>
    <row r="66" spans="19:19" x14ac:dyDescent="0.3">
      <c r="S66" s="9" t="str">
        <f t="shared" ca="1" si="0"/>
        <v/>
      </c>
    </row>
    <row r="67" spans="19:19" x14ac:dyDescent="0.3">
      <c r="S67" s="9" t="str">
        <f t="shared" ca="1" si="0"/>
        <v/>
      </c>
    </row>
    <row r="68" spans="19:19" x14ac:dyDescent="0.3">
      <c r="S68" s="9" t="str">
        <f t="shared" ca="1" si="0"/>
        <v/>
      </c>
    </row>
    <row r="69" spans="19:19" x14ac:dyDescent="0.3">
      <c r="S69" s="9" t="str">
        <f t="shared" ca="1" si="0"/>
        <v/>
      </c>
    </row>
    <row r="70" spans="19:19" x14ac:dyDescent="0.3">
      <c r="S70" s="9" t="str">
        <f t="shared" ca="1" si="0"/>
        <v/>
      </c>
    </row>
    <row r="71" spans="19:19" x14ac:dyDescent="0.3">
      <c r="S71" s="9" t="str">
        <f t="shared" ref="S71:S134" ca="1" si="1">IF(AND(P71&lt;TODAY(),S71&lt;&gt;"Cerrado"),"Vencido",S71)</f>
        <v/>
      </c>
    </row>
    <row r="72" spans="19:19" x14ac:dyDescent="0.3">
      <c r="S72" s="9" t="str">
        <f t="shared" ca="1" si="1"/>
        <v/>
      </c>
    </row>
    <row r="73" spans="19:19" x14ac:dyDescent="0.3">
      <c r="S73" s="9" t="str">
        <f t="shared" ca="1" si="1"/>
        <v/>
      </c>
    </row>
    <row r="74" spans="19:19" x14ac:dyDescent="0.3">
      <c r="S74" s="9" t="str">
        <f t="shared" ca="1" si="1"/>
        <v/>
      </c>
    </row>
    <row r="75" spans="19:19" x14ac:dyDescent="0.3">
      <c r="S75" s="9" t="str">
        <f t="shared" ca="1" si="1"/>
        <v/>
      </c>
    </row>
    <row r="76" spans="19:19" x14ac:dyDescent="0.3">
      <c r="S76" s="9" t="str">
        <f t="shared" ca="1" si="1"/>
        <v/>
      </c>
    </row>
    <row r="77" spans="19:19" x14ac:dyDescent="0.3">
      <c r="S77" s="9" t="str">
        <f t="shared" ca="1" si="1"/>
        <v/>
      </c>
    </row>
    <row r="78" spans="19:19" x14ac:dyDescent="0.3">
      <c r="S78" s="9" t="str">
        <f t="shared" ca="1" si="1"/>
        <v/>
      </c>
    </row>
    <row r="79" spans="19:19" x14ac:dyDescent="0.3">
      <c r="S79" s="9" t="str">
        <f t="shared" ca="1" si="1"/>
        <v/>
      </c>
    </row>
    <row r="80" spans="19:19" x14ac:dyDescent="0.3">
      <c r="S80" s="9" t="str">
        <f t="shared" ca="1" si="1"/>
        <v/>
      </c>
    </row>
    <row r="81" spans="19:19" x14ac:dyDescent="0.3">
      <c r="S81" s="9" t="str">
        <f t="shared" ca="1" si="1"/>
        <v/>
      </c>
    </row>
    <row r="82" spans="19:19" x14ac:dyDescent="0.3">
      <c r="S82" s="9" t="str">
        <f t="shared" ca="1" si="1"/>
        <v/>
      </c>
    </row>
    <row r="83" spans="19:19" x14ac:dyDescent="0.3">
      <c r="S83" s="9" t="str">
        <f t="shared" ca="1" si="1"/>
        <v/>
      </c>
    </row>
    <row r="84" spans="19:19" x14ac:dyDescent="0.3">
      <c r="S84" s="9" t="str">
        <f t="shared" ca="1" si="1"/>
        <v/>
      </c>
    </row>
    <row r="85" spans="19:19" x14ac:dyDescent="0.3">
      <c r="S85" s="9" t="str">
        <f t="shared" ca="1" si="1"/>
        <v/>
      </c>
    </row>
    <row r="86" spans="19:19" x14ac:dyDescent="0.3">
      <c r="S86" s="9" t="str">
        <f t="shared" ca="1" si="1"/>
        <v/>
      </c>
    </row>
    <row r="87" spans="19:19" x14ac:dyDescent="0.3">
      <c r="S87" s="9" t="str">
        <f t="shared" ca="1" si="1"/>
        <v/>
      </c>
    </row>
    <row r="88" spans="19:19" x14ac:dyDescent="0.3">
      <c r="S88" s="9" t="str">
        <f t="shared" ca="1" si="1"/>
        <v/>
      </c>
    </row>
    <row r="89" spans="19:19" x14ac:dyDescent="0.3">
      <c r="S89" s="9" t="str">
        <f t="shared" ca="1" si="1"/>
        <v/>
      </c>
    </row>
    <row r="90" spans="19:19" x14ac:dyDescent="0.3">
      <c r="S90" s="9" t="str">
        <f t="shared" ca="1" si="1"/>
        <v/>
      </c>
    </row>
    <row r="91" spans="19:19" x14ac:dyDescent="0.3">
      <c r="S91" s="9" t="str">
        <f t="shared" ca="1" si="1"/>
        <v/>
      </c>
    </row>
    <row r="92" spans="19:19" x14ac:dyDescent="0.3">
      <c r="S92" s="9" t="str">
        <f t="shared" ca="1" si="1"/>
        <v/>
      </c>
    </row>
    <row r="93" spans="19:19" x14ac:dyDescent="0.3">
      <c r="S93" s="9" t="str">
        <f t="shared" ca="1" si="1"/>
        <v/>
      </c>
    </row>
    <row r="94" spans="19:19" x14ac:dyDescent="0.3">
      <c r="S94" s="9" t="str">
        <f t="shared" ca="1" si="1"/>
        <v/>
      </c>
    </row>
    <row r="95" spans="19:19" x14ac:dyDescent="0.3">
      <c r="S95" s="9" t="str">
        <f t="shared" ca="1" si="1"/>
        <v/>
      </c>
    </row>
    <row r="96" spans="19:19" x14ac:dyDescent="0.3">
      <c r="S96" s="9" t="str">
        <f t="shared" ca="1" si="1"/>
        <v/>
      </c>
    </row>
    <row r="97" spans="19:19" x14ac:dyDescent="0.3">
      <c r="S97" s="9" t="str">
        <f t="shared" ca="1" si="1"/>
        <v/>
      </c>
    </row>
    <row r="98" spans="19:19" x14ac:dyDescent="0.3">
      <c r="S98" s="9" t="str">
        <f t="shared" ca="1" si="1"/>
        <v/>
      </c>
    </row>
    <row r="99" spans="19:19" x14ac:dyDescent="0.3">
      <c r="S99" s="9" t="str">
        <f t="shared" ca="1" si="1"/>
        <v/>
      </c>
    </row>
    <row r="100" spans="19:19" x14ac:dyDescent="0.3">
      <c r="S100" s="9" t="str">
        <f t="shared" ca="1" si="1"/>
        <v/>
      </c>
    </row>
    <row r="101" spans="19:19" x14ac:dyDescent="0.3">
      <c r="S101" s="9" t="str">
        <f t="shared" ca="1" si="1"/>
        <v/>
      </c>
    </row>
    <row r="102" spans="19:19" x14ac:dyDescent="0.3">
      <c r="S102" s="9" t="str">
        <f t="shared" ca="1" si="1"/>
        <v/>
      </c>
    </row>
    <row r="103" spans="19:19" x14ac:dyDescent="0.3">
      <c r="S103" s="9" t="str">
        <f t="shared" ca="1" si="1"/>
        <v/>
      </c>
    </row>
    <row r="104" spans="19:19" x14ac:dyDescent="0.3">
      <c r="S104" s="9" t="str">
        <f t="shared" ca="1" si="1"/>
        <v/>
      </c>
    </row>
    <row r="105" spans="19:19" x14ac:dyDescent="0.3">
      <c r="S105" s="9" t="str">
        <f t="shared" ca="1" si="1"/>
        <v/>
      </c>
    </row>
    <row r="106" spans="19:19" x14ac:dyDescent="0.3">
      <c r="S106" s="9" t="str">
        <f t="shared" ca="1" si="1"/>
        <v/>
      </c>
    </row>
    <row r="107" spans="19:19" x14ac:dyDescent="0.3">
      <c r="S107" s="9" t="str">
        <f t="shared" ca="1" si="1"/>
        <v/>
      </c>
    </row>
    <row r="108" spans="19:19" x14ac:dyDescent="0.3">
      <c r="S108" s="9" t="str">
        <f t="shared" ca="1" si="1"/>
        <v/>
      </c>
    </row>
    <row r="109" spans="19:19" x14ac:dyDescent="0.3">
      <c r="S109" s="9" t="str">
        <f t="shared" ca="1" si="1"/>
        <v/>
      </c>
    </row>
    <row r="110" spans="19:19" x14ac:dyDescent="0.3">
      <c r="S110" s="9" t="str">
        <f t="shared" ca="1" si="1"/>
        <v/>
      </c>
    </row>
    <row r="111" spans="19:19" x14ac:dyDescent="0.3">
      <c r="S111" s="9" t="str">
        <f t="shared" ca="1" si="1"/>
        <v/>
      </c>
    </row>
    <row r="112" spans="19:19" x14ac:dyDescent="0.3">
      <c r="S112" s="9" t="str">
        <f t="shared" ca="1" si="1"/>
        <v/>
      </c>
    </row>
    <row r="113" spans="19:19" x14ac:dyDescent="0.3">
      <c r="S113" s="9" t="str">
        <f t="shared" ca="1" si="1"/>
        <v/>
      </c>
    </row>
    <row r="114" spans="19:19" x14ac:dyDescent="0.3">
      <c r="S114" s="9" t="str">
        <f t="shared" ca="1" si="1"/>
        <v/>
      </c>
    </row>
    <row r="115" spans="19:19" x14ac:dyDescent="0.3">
      <c r="S115" s="9" t="str">
        <f t="shared" ca="1" si="1"/>
        <v/>
      </c>
    </row>
    <row r="116" spans="19:19" x14ac:dyDescent="0.3">
      <c r="S116" s="9" t="str">
        <f t="shared" ca="1" si="1"/>
        <v/>
      </c>
    </row>
    <row r="117" spans="19:19" x14ac:dyDescent="0.3">
      <c r="S117" s="9" t="str">
        <f t="shared" ca="1" si="1"/>
        <v/>
      </c>
    </row>
    <row r="118" spans="19:19" x14ac:dyDescent="0.3">
      <c r="S118" s="9" t="str">
        <f t="shared" ca="1" si="1"/>
        <v/>
      </c>
    </row>
    <row r="119" spans="19:19" x14ac:dyDescent="0.3">
      <c r="S119" s="9" t="str">
        <f t="shared" ca="1" si="1"/>
        <v/>
      </c>
    </row>
    <row r="120" spans="19:19" x14ac:dyDescent="0.3">
      <c r="S120" s="9" t="str">
        <f t="shared" ca="1" si="1"/>
        <v/>
      </c>
    </row>
    <row r="121" spans="19:19" x14ac:dyDescent="0.3">
      <c r="S121" s="9" t="str">
        <f t="shared" ca="1" si="1"/>
        <v/>
      </c>
    </row>
    <row r="122" spans="19:19" x14ac:dyDescent="0.3">
      <c r="S122" s="9" t="str">
        <f t="shared" ca="1" si="1"/>
        <v/>
      </c>
    </row>
    <row r="123" spans="19:19" x14ac:dyDescent="0.3">
      <c r="S123" s="9" t="str">
        <f t="shared" ca="1" si="1"/>
        <v/>
      </c>
    </row>
    <row r="124" spans="19:19" x14ac:dyDescent="0.3">
      <c r="S124" s="9" t="str">
        <f t="shared" ca="1" si="1"/>
        <v/>
      </c>
    </row>
    <row r="125" spans="19:19" x14ac:dyDescent="0.3">
      <c r="S125" s="9" t="str">
        <f t="shared" ca="1" si="1"/>
        <v/>
      </c>
    </row>
    <row r="126" spans="19:19" x14ac:dyDescent="0.3">
      <c r="S126" s="9" t="str">
        <f t="shared" ca="1" si="1"/>
        <v/>
      </c>
    </row>
    <row r="127" spans="19:19" x14ac:dyDescent="0.3">
      <c r="S127" s="9" t="str">
        <f t="shared" ca="1" si="1"/>
        <v/>
      </c>
    </row>
    <row r="128" spans="19:19" x14ac:dyDescent="0.3">
      <c r="S128" s="9" t="str">
        <f t="shared" ca="1" si="1"/>
        <v/>
      </c>
    </row>
    <row r="129" spans="19:19" x14ac:dyDescent="0.3">
      <c r="S129" s="9" t="str">
        <f t="shared" ca="1" si="1"/>
        <v/>
      </c>
    </row>
    <row r="130" spans="19:19" x14ac:dyDescent="0.3">
      <c r="S130" s="9" t="str">
        <f t="shared" ca="1" si="1"/>
        <v/>
      </c>
    </row>
    <row r="131" spans="19:19" x14ac:dyDescent="0.3">
      <c r="S131" s="9" t="str">
        <f t="shared" ca="1" si="1"/>
        <v/>
      </c>
    </row>
    <row r="132" spans="19:19" x14ac:dyDescent="0.3">
      <c r="S132" s="9" t="str">
        <f t="shared" ca="1" si="1"/>
        <v/>
      </c>
    </row>
    <row r="133" spans="19:19" x14ac:dyDescent="0.3">
      <c r="S133" s="9" t="str">
        <f t="shared" ca="1" si="1"/>
        <v/>
      </c>
    </row>
    <row r="134" spans="19:19" x14ac:dyDescent="0.3">
      <c r="S134" s="9" t="str">
        <f t="shared" ca="1" si="1"/>
        <v/>
      </c>
    </row>
    <row r="135" spans="19:19" x14ac:dyDescent="0.3">
      <c r="S135" s="9" t="str">
        <f t="shared" ref="S135:S198" ca="1" si="2">IF(AND(P135&lt;TODAY(),S135&lt;&gt;"Cerrado"),"Vencido",S135)</f>
        <v/>
      </c>
    </row>
    <row r="136" spans="19:19" x14ac:dyDescent="0.3">
      <c r="S136" s="9" t="str">
        <f t="shared" ca="1" si="2"/>
        <v/>
      </c>
    </row>
    <row r="137" spans="19:19" x14ac:dyDescent="0.3">
      <c r="S137" s="9" t="str">
        <f t="shared" ca="1" si="2"/>
        <v/>
      </c>
    </row>
    <row r="138" spans="19:19" x14ac:dyDescent="0.3">
      <c r="S138" s="9" t="str">
        <f t="shared" ca="1" si="2"/>
        <v/>
      </c>
    </row>
    <row r="139" spans="19:19" x14ac:dyDescent="0.3">
      <c r="S139" s="9" t="str">
        <f t="shared" ca="1" si="2"/>
        <v/>
      </c>
    </row>
    <row r="140" spans="19:19" x14ac:dyDescent="0.3">
      <c r="S140" s="9" t="str">
        <f t="shared" ca="1" si="2"/>
        <v/>
      </c>
    </row>
    <row r="141" spans="19:19" x14ac:dyDescent="0.3">
      <c r="S141" s="9" t="str">
        <f t="shared" ca="1" si="2"/>
        <v/>
      </c>
    </row>
    <row r="142" spans="19:19" x14ac:dyDescent="0.3">
      <c r="S142" s="9" t="str">
        <f t="shared" ca="1" si="2"/>
        <v/>
      </c>
    </row>
    <row r="143" spans="19:19" x14ac:dyDescent="0.3">
      <c r="S143" s="9" t="str">
        <f t="shared" ca="1" si="2"/>
        <v/>
      </c>
    </row>
    <row r="144" spans="19:19" x14ac:dyDescent="0.3">
      <c r="S144" s="9" t="str">
        <f t="shared" ca="1" si="2"/>
        <v/>
      </c>
    </row>
    <row r="145" spans="19:19" x14ac:dyDescent="0.3">
      <c r="S145" s="9" t="str">
        <f t="shared" ca="1" si="2"/>
        <v/>
      </c>
    </row>
    <row r="146" spans="19:19" x14ac:dyDescent="0.3">
      <c r="S146" s="9" t="str">
        <f t="shared" ca="1" si="2"/>
        <v/>
      </c>
    </row>
    <row r="147" spans="19:19" x14ac:dyDescent="0.3">
      <c r="S147" s="9" t="str">
        <f t="shared" ca="1" si="2"/>
        <v/>
      </c>
    </row>
    <row r="148" spans="19:19" x14ac:dyDescent="0.3">
      <c r="S148" s="9" t="str">
        <f t="shared" ca="1" si="2"/>
        <v/>
      </c>
    </row>
    <row r="149" spans="19:19" x14ac:dyDescent="0.3">
      <c r="S149" s="9" t="str">
        <f t="shared" ca="1" si="2"/>
        <v/>
      </c>
    </row>
    <row r="150" spans="19:19" x14ac:dyDescent="0.3">
      <c r="S150" s="9" t="str">
        <f t="shared" ca="1" si="2"/>
        <v/>
      </c>
    </row>
    <row r="151" spans="19:19" x14ac:dyDescent="0.3">
      <c r="S151" s="9" t="str">
        <f t="shared" ca="1" si="2"/>
        <v/>
      </c>
    </row>
    <row r="152" spans="19:19" x14ac:dyDescent="0.3">
      <c r="S152" s="9" t="str">
        <f t="shared" ca="1" si="2"/>
        <v/>
      </c>
    </row>
    <row r="153" spans="19:19" x14ac:dyDescent="0.3">
      <c r="S153" s="9" t="str">
        <f t="shared" ca="1" si="2"/>
        <v/>
      </c>
    </row>
    <row r="154" spans="19:19" x14ac:dyDescent="0.3">
      <c r="S154" s="9" t="str">
        <f t="shared" ca="1" si="2"/>
        <v/>
      </c>
    </row>
    <row r="155" spans="19:19" x14ac:dyDescent="0.3">
      <c r="S155" s="9" t="str">
        <f t="shared" ca="1" si="2"/>
        <v/>
      </c>
    </row>
    <row r="156" spans="19:19" x14ac:dyDescent="0.3">
      <c r="S156" s="9" t="str">
        <f t="shared" ca="1" si="2"/>
        <v/>
      </c>
    </row>
    <row r="157" spans="19:19" x14ac:dyDescent="0.3">
      <c r="S157" s="9" t="str">
        <f t="shared" ca="1" si="2"/>
        <v/>
      </c>
    </row>
    <row r="158" spans="19:19" x14ac:dyDescent="0.3">
      <c r="S158" s="9" t="str">
        <f t="shared" ca="1" si="2"/>
        <v/>
      </c>
    </row>
    <row r="159" spans="19:19" x14ac:dyDescent="0.3">
      <c r="S159" s="9" t="str">
        <f t="shared" ca="1" si="2"/>
        <v/>
      </c>
    </row>
    <row r="160" spans="19:19" x14ac:dyDescent="0.3">
      <c r="S160" s="9" t="str">
        <f t="shared" ca="1" si="2"/>
        <v/>
      </c>
    </row>
    <row r="161" spans="19:19" x14ac:dyDescent="0.3">
      <c r="S161" s="9" t="str">
        <f t="shared" ca="1" si="2"/>
        <v/>
      </c>
    </row>
    <row r="162" spans="19:19" x14ac:dyDescent="0.3">
      <c r="S162" s="9" t="str">
        <f t="shared" ca="1" si="2"/>
        <v/>
      </c>
    </row>
    <row r="163" spans="19:19" x14ac:dyDescent="0.3">
      <c r="S163" s="9" t="str">
        <f t="shared" ca="1" si="2"/>
        <v/>
      </c>
    </row>
    <row r="164" spans="19:19" x14ac:dyDescent="0.3">
      <c r="S164" s="9" t="str">
        <f t="shared" ca="1" si="2"/>
        <v/>
      </c>
    </row>
    <row r="165" spans="19:19" x14ac:dyDescent="0.3">
      <c r="S165" s="9" t="str">
        <f t="shared" ca="1" si="2"/>
        <v/>
      </c>
    </row>
    <row r="166" spans="19:19" x14ac:dyDescent="0.3">
      <c r="S166" s="9" t="str">
        <f t="shared" ca="1" si="2"/>
        <v/>
      </c>
    </row>
    <row r="167" spans="19:19" x14ac:dyDescent="0.3">
      <c r="S167" s="9" t="str">
        <f t="shared" ca="1" si="2"/>
        <v/>
      </c>
    </row>
    <row r="168" spans="19:19" x14ac:dyDescent="0.3">
      <c r="S168" s="9" t="str">
        <f t="shared" ca="1" si="2"/>
        <v/>
      </c>
    </row>
    <row r="169" spans="19:19" x14ac:dyDescent="0.3">
      <c r="S169" s="9" t="str">
        <f t="shared" ca="1" si="2"/>
        <v/>
      </c>
    </row>
    <row r="170" spans="19:19" x14ac:dyDescent="0.3">
      <c r="S170" s="9" t="str">
        <f t="shared" ca="1" si="2"/>
        <v/>
      </c>
    </row>
    <row r="171" spans="19:19" x14ac:dyDescent="0.3">
      <c r="S171" s="9" t="str">
        <f t="shared" ca="1" si="2"/>
        <v/>
      </c>
    </row>
    <row r="172" spans="19:19" x14ac:dyDescent="0.3">
      <c r="S172" s="9" t="str">
        <f t="shared" ca="1" si="2"/>
        <v/>
      </c>
    </row>
    <row r="173" spans="19:19" x14ac:dyDescent="0.3">
      <c r="S173" s="9" t="str">
        <f t="shared" ca="1" si="2"/>
        <v/>
      </c>
    </row>
    <row r="174" spans="19:19" x14ac:dyDescent="0.3">
      <c r="S174" s="9" t="str">
        <f t="shared" ca="1" si="2"/>
        <v/>
      </c>
    </row>
    <row r="175" spans="19:19" x14ac:dyDescent="0.3">
      <c r="S175" s="9" t="str">
        <f t="shared" ca="1" si="2"/>
        <v/>
      </c>
    </row>
    <row r="176" spans="19:19" x14ac:dyDescent="0.3">
      <c r="S176" s="9" t="str">
        <f t="shared" ca="1" si="2"/>
        <v/>
      </c>
    </row>
    <row r="177" spans="19:19" x14ac:dyDescent="0.3">
      <c r="S177" s="9" t="str">
        <f t="shared" ca="1" si="2"/>
        <v/>
      </c>
    </row>
    <row r="178" spans="19:19" x14ac:dyDescent="0.3">
      <c r="S178" s="9" t="str">
        <f t="shared" ca="1" si="2"/>
        <v/>
      </c>
    </row>
    <row r="179" spans="19:19" x14ac:dyDescent="0.3">
      <c r="S179" s="9" t="str">
        <f t="shared" ca="1" si="2"/>
        <v/>
      </c>
    </row>
    <row r="180" spans="19:19" x14ac:dyDescent="0.3">
      <c r="S180" s="9" t="str">
        <f t="shared" ca="1" si="2"/>
        <v/>
      </c>
    </row>
    <row r="181" spans="19:19" x14ac:dyDescent="0.3">
      <c r="S181" s="9" t="str">
        <f t="shared" ca="1" si="2"/>
        <v/>
      </c>
    </row>
    <row r="182" spans="19:19" x14ac:dyDescent="0.3">
      <c r="S182" s="9" t="str">
        <f t="shared" ca="1" si="2"/>
        <v/>
      </c>
    </row>
    <row r="183" spans="19:19" x14ac:dyDescent="0.3">
      <c r="S183" s="9" t="str">
        <f t="shared" ca="1" si="2"/>
        <v/>
      </c>
    </row>
    <row r="184" spans="19:19" x14ac:dyDescent="0.3">
      <c r="S184" s="9" t="str">
        <f t="shared" ca="1" si="2"/>
        <v/>
      </c>
    </row>
    <row r="185" spans="19:19" x14ac:dyDescent="0.3">
      <c r="S185" s="9" t="str">
        <f t="shared" ca="1" si="2"/>
        <v/>
      </c>
    </row>
    <row r="186" spans="19:19" x14ac:dyDescent="0.3">
      <c r="S186" s="9" t="str">
        <f t="shared" ca="1" si="2"/>
        <v/>
      </c>
    </row>
    <row r="187" spans="19:19" x14ac:dyDescent="0.3">
      <c r="S187" s="9" t="str">
        <f t="shared" ca="1" si="2"/>
        <v/>
      </c>
    </row>
    <row r="188" spans="19:19" x14ac:dyDescent="0.3">
      <c r="S188" s="9" t="str">
        <f t="shared" ca="1" si="2"/>
        <v/>
      </c>
    </row>
    <row r="189" spans="19:19" x14ac:dyDescent="0.3">
      <c r="S189" s="9" t="str">
        <f t="shared" ca="1" si="2"/>
        <v/>
      </c>
    </row>
    <row r="190" spans="19:19" x14ac:dyDescent="0.3">
      <c r="S190" s="9" t="str">
        <f t="shared" ca="1" si="2"/>
        <v/>
      </c>
    </row>
    <row r="191" spans="19:19" x14ac:dyDescent="0.3">
      <c r="S191" s="9" t="str">
        <f t="shared" ca="1" si="2"/>
        <v/>
      </c>
    </row>
    <row r="192" spans="19:19" x14ac:dyDescent="0.3">
      <c r="S192" s="9" t="str">
        <f t="shared" ca="1" si="2"/>
        <v/>
      </c>
    </row>
    <row r="193" spans="19:19" x14ac:dyDescent="0.3">
      <c r="S193" s="9" t="str">
        <f t="shared" ca="1" si="2"/>
        <v/>
      </c>
    </row>
    <row r="194" spans="19:19" x14ac:dyDescent="0.3">
      <c r="S194" s="9" t="str">
        <f t="shared" ca="1" si="2"/>
        <v/>
      </c>
    </row>
    <row r="195" spans="19:19" x14ac:dyDescent="0.3">
      <c r="S195" s="9" t="str">
        <f t="shared" ca="1" si="2"/>
        <v/>
      </c>
    </row>
    <row r="196" spans="19:19" x14ac:dyDescent="0.3">
      <c r="S196" s="9" t="str">
        <f t="shared" ca="1" si="2"/>
        <v/>
      </c>
    </row>
    <row r="197" spans="19:19" x14ac:dyDescent="0.3">
      <c r="S197" s="9" t="str">
        <f t="shared" ca="1" si="2"/>
        <v/>
      </c>
    </row>
    <row r="198" spans="19:19" x14ac:dyDescent="0.3">
      <c r="S198" s="9" t="str">
        <f t="shared" ca="1" si="2"/>
        <v/>
      </c>
    </row>
    <row r="199" spans="19:19" x14ac:dyDescent="0.3">
      <c r="S199" s="9" t="str">
        <f t="shared" ref="S199:S205" ca="1" si="3">IF(AND(P199&lt;TODAY(),S199&lt;&gt;"Cerrado"),"Vencido",S199)</f>
        <v/>
      </c>
    </row>
    <row r="200" spans="19:19" x14ac:dyDescent="0.3">
      <c r="S200" s="9" t="str">
        <f t="shared" ca="1" si="3"/>
        <v/>
      </c>
    </row>
    <row r="201" spans="19:19" x14ac:dyDescent="0.3">
      <c r="S201" s="9" t="str">
        <f t="shared" ca="1" si="3"/>
        <v/>
      </c>
    </row>
    <row r="202" spans="19:19" x14ac:dyDescent="0.3">
      <c r="S202" s="9" t="str">
        <f t="shared" ca="1" si="3"/>
        <v/>
      </c>
    </row>
    <row r="203" spans="19:19" x14ac:dyDescent="0.3">
      <c r="S203" s="9" t="str">
        <f t="shared" ca="1" si="3"/>
        <v/>
      </c>
    </row>
    <row r="204" spans="19:19" x14ac:dyDescent="0.3">
      <c r="S204" s="9" t="str">
        <f t="shared" ca="1" si="3"/>
        <v/>
      </c>
    </row>
    <row r="205" spans="19:19" x14ac:dyDescent="0.3">
      <c r="S205" s="9" t="str">
        <f t="shared" ca="1" si="3"/>
        <v/>
      </c>
    </row>
  </sheetData>
  <mergeCells count="1">
    <mergeCell ref="A11:A12"/>
  </mergeCells>
  <dataValidations count="4">
    <dataValidation type="list" allowBlank="1" sqref="AA2:AA205" xr:uid="{274A9DB5-4743-4598-9019-2B28638E96CF}">
      <formula1>"Eficaz,Parcialmente eficaz,No eficaz"</formula1>
    </dataValidation>
    <dataValidation type="list" allowBlank="1" sqref="Z2:Z205" xr:uid="{16DC3DEB-B5C1-424F-80AB-A011FF6FFF69}">
      <formula1>"Documental,Prueba de control,Reauditoría"</formula1>
    </dataValidation>
    <dataValidation type="list" allowBlank="1" sqref="AD2:AD205 W2:W205" xr:uid="{F29F231E-D84F-4213-8EDD-989663568A7C}">
      <formula1>"Sí,No"</formula1>
    </dataValidation>
    <dataValidation type="list" allowBlank="1" sqref="S2:S205" xr:uid="{58F37FD9-7546-4E93-BDBF-1230BE932915}">
      <formula1>"Abierto,En proceso,Cerrado"</formula1>
    </dataValidation>
  </dataValidation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1C015-EF83-44E5-9DD4-B9C5C1295757}">
  <dimension ref="B2:C6"/>
  <sheetViews>
    <sheetView workbookViewId="0">
      <selection activeCell="C3" sqref="C3"/>
    </sheetView>
  </sheetViews>
  <sheetFormatPr baseColWidth="10" defaultColWidth="10.88671875" defaultRowHeight="14.4" x14ac:dyDescent="0.3"/>
  <cols>
    <col min="1" max="16384" width="10.88671875" style="15"/>
  </cols>
  <sheetData>
    <row r="2" spans="2:3" x14ac:dyDescent="0.3">
      <c r="B2" s="15">
        <v>29</v>
      </c>
      <c r="C2" s="19">
        <v>1</v>
      </c>
    </row>
    <row r="3" spans="2:3" x14ac:dyDescent="0.3">
      <c r="B3" s="15">
        <v>24</v>
      </c>
      <c r="C3" s="15">
        <f>(C2*B3)/B2</f>
        <v>0.82758620689655171</v>
      </c>
    </row>
    <row r="5" spans="2:3" x14ac:dyDescent="0.3">
      <c r="B5" s="15">
        <v>5</v>
      </c>
      <c r="C5" s="19">
        <v>1</v>
      </c>
    </row>
    <row r="6" spans="2:3" x14ac:dyDescent="0.3">
      <c r="B6" s="15">
        <v>1</v>
      </c>
      <c r="C6" s="15">
        <f>(C5*B6)/B5</f>
        <v>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206"/>
  <sheetViews>
    <sheetView zoomScale="80" zoomScaleNormal="80" workbookViewId="0">
      <pane ySplit="1" topLeftCell="A21" activePane="bottomLeft" state="frozen"/>
      <selection pane="bottomLeft" activeCell="E2" sqref="E2:E25"/>
    </sheetView>
  </sheetViews>
  <sheetFormatPr baseColWidth="10" defaultColWidth="8.77734375" defaultRowHeight="13.8" x14ac:dyDescent="0.25"/>
  <cols>
    <col min="1" max="1" width="10.88671875" style="9" customWidth="1"/>
    <col min="2" max="2" width="13.88671875" style="9" customWidth="1"/>
    <col min="3" max="3" width="16.88671875" style="9" customWidth="1"/>
    <col min="4" max="4" width="14.88671875" style="9" customWidth="1"/>
    <col min="5" max="5" width="15.33203125" style="9" customWidth="1"/>
    <col min="6" max="6" width="11.33203125" style="13" customWidth="1"/>
    <col min="7" max="7" width="43.77734375" style="9" customWidth="1"/>
    <col min="8" max="8" width="50.77734375" style="9" customWidth="1"/>
    <col min="9" max="9" width="47.33203125" style="9" customWidth="1"/>
    <col min="10" max="11" width="22" style="9" customWidth="1"/>
    <col min="12" max="12" width="29.109375" style="9" bestFit="1" customWidth="1"/>
    <col min="13" max="30" width="22" style="9" customWidth="1"/>
    <col min="31" max="16384" width="8.77734375" style="9"/>
  </cols>
  <sheetData>
    <row r="1" spans="1:30" s="10" customFormat="1" ht="45" x14ac:dyDescent="0.3">
      <c r="A1" s="4" t="s">
        <v>0</v>
      </c>
      <c r="B1" s="4" t="s">
        <v>158</v>
      </c>
      <c r="C1" s="10" t="s">
        <v>63</v>
      </c>
      <c r="D1" s="4" t="s">
        <v>46</v>
      </c>
      <c r="E1" s="4" t="s">
        <v>1</v>
      </c>
      <c r="F1" s="4" t="s">
        <v>82</v>
      </c>
      <c r="G1" s="4" t="s">
        <v>4</v>
      </c>
      <c r="H1" s="4" t="s">
        <v>3</v>
      </c>
      <c r="I1" s="4" t="s">
        <v>40</v>
      </c>
      <c r="J1" s="4" t="s">
        <v>124</v>
      </c>
      <c r="K1" s="4" t="s">
        <v>7</v>
      </c>
      <c r="L1" s="4" t="s">
        <v>8</v>
      </c>
      <c r="M1" s="4" t="s">
        <v>9</v>
      </c>
      <c r="N1" s="4" t="s">
        <v>10</v>
      </c>
      <c r="O1" s="4" t="s">
        <v>11</v>
      </c>
      <c r="P1" s="4" t="s">
        <v>12</v>
      </c>
      <c r="Q1" s="4" t="s">
        <v>13</v>
      </c>
      <c r="R1" s="4" t="s">
        <v>14</v>
      </c>
      <c r="S1" s="4" t="s">
        <v>15</v>
      </c>
      <c r="T1" s="4" t="s">
        <v>16</v>
      </c>
      <c r="U1" s="4" t="s">
        <v>17</v>
      </c>
      <c r="V1" s="4" t="s">
        <v>18</v>
      </c>
      <c r="W1" s="4" t="s">
        <v>19</v>
      </c>
      <c r="X1" s="4" t="s">
        <v>20</v>
      </c>
      <c r="Y1" s="4" t="s">
        <v>21</v>
      </c>
      <c r="Z1" s="4" t="s">
        <v>22</v>
      </c>
      <c r="AA1" s="4" t="s">
        <v>23</v>
      </c>
      <c r="AB1" s="4" t="s">
        <v>24</v>
      </c>
      <c r="AC1" s="4" t="s">
        <v>25</v>
      </c>
      <c r="AD1" s="4" t="s">
        <v>26</v>
      </c>
    </row>
    <row r="2" spans="1:30" s="22" customFormat="1" ht="66" x14ac:dyDescent="0.3">
      <c r="A2" s="20"/>
      <c r="B2" s="21">
        <v>46143</v>
      </c>
      <c r="C2" s="20" t="s">
        <v>150</v>
      </c>
      <c r="D2" s="5" t="s">
        <v>34</v>
      </c>
      <c r="E2" s="5" t="s">
        <v>35</v>
      </c>
      <c r="F2" s="5" t="s">
        <v>36</v>
      </c>
      <c r="G2" s="20" t="s">
        <v>160</v>
      </c>
      <c r="H2" s="20" t="s">
        <v>159</v>
      </c>
      <c r="I2" s="20"/>
      <c r="J2" s="20"/>
      <c r="K2" s="20"/>
      <c r="L2" s="20"/>
      <c r="M2" s="20"/>
      <c r="N2" s="20"/>
      <c r="O2" s="23"/>
      <c r="P2" s="20"/>
      <c r="Q2" s="20"/>
      <c r="R2" s="20"/>
      <c r="S2" s="20"/>
      <c r="T2" s="20"/>
      <c r="U2" s="20"/>
      <c r="V2" s="20"/>
      <c r="W2" s="20"/>
      <c r="X2" s="20"/>
      <c r="Y2" s="20"/>
      <c r="Z2" s="20"/>
      <c r="AA2" s="20"/>
      <c r="AB2" s="20"/>
      <c r="AC2" s="20"/>
      <c r="AD2" s="20"/>
    </row>
    <row r="3" spans="1:30" s="22" customFormat="1" ht="79.2" x14ac:dyDescent="0.3">
      <c r="A3" s="20"/>
      <c r="B3" s="21">
        <v>46143</v>
      </c>
      <c r="C3" s="20" t="s">
        <v>150</v>
      </c>
      <c r="D3" s="5" t="s">
        <v>34</v>
      </c>
      <c r="E3" s="5" t="s">
        <v>35</v>
      </c>
      <c r="F3" s="5" t="s">
        <v>36</v>
      </c>
      <c r="G3" s="20" t="s">
        <v>162</v>
      </c>
      <c r="H3" s="20" t="s">
        <v>161</v>
      </c>
      <c r="I3" s="20"/>
      <c r="J3" s="20"/>
      <c r="K3" s="20"/>
      <c r="L3" s="20"/>
      <c r="M3" s="20"/>
      <c r="N3" s="20"/>
      <c r="O3" s="23"/>
      <c r="P3" s="20"/>
      <c r="Q3" s="20"/>
      <c r="R3" s="20"/>
      <c r="S3" s="20"/>
      <c r="T3" s="20"/>
      <c r="U3" s="20"/>
      <c r="V3" s="20"/>
      <c r="W3" s="20"/>
      <c r="X3" s="20"/>
      <c r="Y3" s="20"/>
      <c r="Z3" s="20"/>
      <c r="AA3" s="20"/>
      <c r="AB3" s="20"/>
      <c r="AC3" s="20"/>
      <c r="AD3" s="20"/>
    </row>
    <row r="4" spans="1:30" s="22" customFormat="1" ht="52.8" x14ac:dyDescent="0.3">
      <c r="A4" s="20"/>
      <c r="B4" s="21">
        <v>46143</v>
      </c>
      <c r="C4" s="20" t="s">
        <v>150</v>
      </c>
      <c r="D4" s="5" t="s">
        <v>34</v>
      </c>
      <c r="E4" s="5" t="s">
        <v>35</v>
      </c>
      <c r="F4" s="5" t="s">
        <v>36</v>
      </c>
      <c r="G4" s="20" t="s">
        <v>164</v>
      </c>
      <c r="H4" s="20" t="s">
        <v>163</v>
      </c>
      <c r="I4" s="20"/>
      <c r="J4" s="20"/>
      <c r="K4" s="20"/>
      <c r="L4" s="20"/>
      <c r="M4" s="20"/>
      <c r="N4" s="20"/>
      <c r="O4" s="23"/>
      <c r="P4" s="20"/>
      <c r="Q4" s="20"/>
      <c r="R4" s="20"/>
      <c r="S4" s="20"/>
      <c r="T4" s="20"/>
      <c r="U4" s="20"/>
      <c r="V4" s="20"/>
      <c r="W4" s="20"/>
      <c r="X4" s="20"/>
      <c r="Y4" s="20"/>
      <c r="Z4" s="20"/>
      <c r="AA4" s="20"/>
      <c r="AB4" s="20"/>
      <c r="AC4" s="20"/>
      <c r="AD4" s="20"/>
    </row>
    <row r="5" spans="1:30" s="22" customFormat="1" ht="66" x14ac:dyDescent="0.3">
      <c r="A5" s="20"/>
      <c r="B5" s="21">
        <v>46143</v>
      </c>
      <c r="C5" s="20" t="s">
        <v>150</v>
      </c>
      <c r="D5" s="5" t="s">
        <v>34</v>
      </c>
      <c r="E5" s="5" t="s">
        <v>35</v>
      </c>
      <c r="F5" s="5" t="s">
        <v>59</v>
      </c>
      <c r="G5" s="20" t="s">
        <v>152</v>
      </c>
      <c r="H5" s="20" t="s">
        <v>153</v>
      </c>
      <c r="I5" s="20"/>
      <c r="J5" s="20"/>
      <c r="K5" s="20"/>
      <c r="L5" s="20"/>
      <c r="M5" s="20"/>
      <c r="N5" s="20"/>
      <c r="O5" s="23"/>
      <c r="P5" s="20"/>
      <c r="Q5" s="20"/>
      <c r="R5" s="20"/>
      <c r="S5" s="20"/>
      <c r="T5" s="20"/>
      <c r="U5" s="20"/>
      <c r="V5" s="20"/>
      <c r="W5" s="20"/>
      <c r="X5" s="20"/>
      <c r="Y5" s="20"/>
      <c r="Z5" s="20"/>
      <c r="AA5" s="20"/>
      <c r="AB5" s="20"/>
      <c r="AC5" s="20"/>
      <c r="AD5" s="20"/>
    </row>
    <row r="6" spans="1:30" s="22" customFormat="1" ht="39.6" x14ac:dyDescent="0.3">
      <c r="A6" s="20"/>
      <c r="B6" s="21">
        <v>46143</v>
      </c>
      <c r="C6" s="20" t="s">
        <v>151</v>
      </c>
      <c r="D6" s="5" t="s">
        <v>34</v>
      </c>
      <c r="E6" s="5" t="s">
        <v>35</v>
      </c>
      <c r="F6" s="5" t="s">
        <v>36</v>
      </c>
      <c r="G6" s="20" t="s">
        <v>154</v>
      </c>
      <c r="H6" s="20" t="s">
        <v>155</v>
      </c>
      <c r="I6" s="20"/>
      <c r="J6" s="20"/>
      <c r="K6" s="20"/>
      <c r="L6" s="20"/>
      <c r="M6" s="20"/>
      <c r="N6" s="20"/>
      <c r="O6" s="23"/>
      <c r="P6" s="20"/>
      <c r="Q6" s="20"/>
      <c r="R6" s="20"/>
      <c r="S6" s="20"/>
      <c r="T6" s="20"/>
      <c r="U6" s="20"/>
      <c r="V6" s="20"/>
      <c r="W6" s="20"/>
      <c r="X6" s="20"/>
      <c r="Y6" s="20"/>
      <c r="Z6" s="20"/>
      <c r="AA6" s="20"/>
      <c r="AB6" s="20"/>
      <c r="AC6" s="20"/>
      <c r="AD6" s="20"/>
    </row>
    <row r="7" spans="1:30" s="22" customFormat="1" ht="79.2" x14ac:dyDescent="0.3">
      <c r="A7" s="20"/>
      <c r="B7" s="21">
        <v>46143</v>
      </c>
      <c r="C7" s="20" t="s">
        <v>151</v>
      </c>
      <c r="D7" s="5" t="s">
        <v>34</v>
      </c>
      <c r="E7" s="5" t="s">
        <v>35</v>
      </c>
      <c r="F7" s="5" t="s">
        <v>59</v>
      </c>
      <c r="G7" s="20" t="s">
        <v>156</v>
      </c>
      <c r="H7" s="20" t="s">
        <v>157</v>
      </c>
      <c r="I7" s="20"/>
      <c r="J7" s="20"/>
      <c r="K7" s="20"/>
      <c r="L7" s="20"/>
      <c r="M7" s="20"/>
      <c r="N7" s="20"/>
      <c r="O7" s="23"/>
      <c r="P7" s="20"/>
      <c r="Q7" s="20"/>
      <c r="R7" s="20"/>
      <c r="S7" s="20"/>
      <c r="T7" s="20"/>
      <c r="U7" s="20"/>
      <c r="V7" s="20"/>
      <c r="W7" s="20"/>
      <c r="X7" s="20"/>
      <c r="Y7" s="20"/>
      <c r="Z7" s="20"/>
      <c r="AA7" s="20"/>
      <c r="AB7" s="20"/>
      <c r="AC7" s="20"/>
      <c r="AD7" s="20"/>
    </row>
    <row r="8" spans="1:30" s="7" customFormat="1" ht="92.4" x14ac:dyDescent="0.3">
      <c r="A8" s="5"/>
      <c r="B8" s="6">
        <v>45901</v>
      </c>
      <c r="C8" s="5" t="s">
        <v>64</v>
      </c>
      <c r="D8" s="5" t="s">
        <v>34</v>
      </c>
      <c r="E8" s="5" t="s">
        <v>35</v>
      </c>
      <c r="F8" s="5" t="s">
        <v>36</v>
      </c>
      <c r="G8" s="2" t="s">
        <v>38</v>
      </c>
      <c r="H8" s="2" t="s">
        <v>37</v>
      </c>
      <c r="I8" s="2" t="s">
        <v>39</v>
      </c>
      <c r="J8" s="5" t="s">
        <v>126</v>
      </c>
      <c r="K8" s="5"/>
      <c r="L8" s="5"/>
      <c r="M8" s="5"/>
      <c r="N8" s="5"/>
      <c r="O8" s="24" t="s">
        <v>129</v>
      </c>
      <c r="P8" s="5"/>
      <c r="Q8" s="5" t="str">
        <f t="shared" ref="Q8:Q39" ca="1" si="0">IF(AND(N8&lt;TODAY(),Q8&lt;&gt;"Cerrado"),"Vencido",Q8)</f>
        <v/>
      </c>
      <c r="R8" s="5"/>
      <c r="S8" s="5"/>
      <c r="T8" s="5"/>
      <c r="U8" s="5"/>
      <c r="V8" s="5"/>
      <c r="W8" s="5"/>
      <c r="X8" s="5" t="s">
        <v>32</v>
      </c>
      <c r="Y8" s="5" t="s">
        <v>33</v>
      </c>
      <c r="Z8" s="5"/>
      <c r="AA8" s="5"/>
      <c r="AB8" s="5"/>
      <c r="AC8" s="5"/>
      <c r="AD8" s="5"/>
    </row>
    <row r="9" spans="1:30" s="11" customFormat="1" ht="145.19999999999999" x14ac:dyDescent="0.3">
      <c r="A9" s="3"/>
      <c r="B9" s="6">
        <v>45901</v>
      </c>
      <c r="C9" s="5" t="s">
        <v>64</v>
      </c>
      <c r="D9" s="5" t="s">
        <v>34</v>
      </c>
      <c r="E9" s="5" t="s">
        <v>35</v>
      </c>
      <c r="F9" s="5" t="s">
        <v>36</v>
      </c>
      <c r="G9" s="3" t="s">
        <v>41</v>
      </c>
      <c r="H9" s="3" t="s">
        <v>42</v>
      </c>
      <c r="I9" s="3" t="s">
        <v>45</v>
      </c>
      <c r="J9" s="5" t="s">
        <v>125</v>
      </c>
      <c r="K9" s="3"/>
      <c r="L9" s="3"/>
      <c r="M9" s="3"/>
      <c r="N9" s="3"/>
      <c r="O9" s="25"/>
      <c r="P9" s="3"/>
      <c r="Q9" s="3" t="str">
        <f t="shared" ca="1" si="0"/>
        <v/>
      </c>
      <c r="R9" s="3"/>
      <c r="S9" s="3"/>
      <c r="T9" s="3"/>
      <c r="U9" s="3"/>
      <c r="V9" s="3"/>
      <c r="W9" s="3"/>
      <c r="X9" s="3"/>
      <c r="Y9" s="3"/>
      <c r="Z9" s="3"/>
      <c r="AA9" s="3"/>
      <c r="AB9" s="3"/>
      <c r="AC9" s="3"/>
      <c r="AD9" s="3"/>
    </row>
    <row r="10" spans="1:30" s="11" customFormat="1" ht="132" x14ac:dyDescent="0.3">
      <c r="A10" s="3"/>
      <c r="B10" s="6">
        <v>45901</v>
      </c>
      <c r="C10" s="5" t="s">
        <v>64</v>
      </c>
      <c r="D10" s="5" t="s">
        <v>34</v>
      </c>
      <c r="E10" s="5" t="s">
        <v>35</v>
      </c>
      <c r="F10" s="5" t="s">
        <v>36</v>
      </c>
      <c r="G10" s="3" t="s">
        <v>41</v>
      </c>
      <c r="H10" s="3" t="s">
        <v>43</v>
      </c>
      <c r="I10" s="3" t="s">
        <v>45</v>
      </c>
      <c r="J10" s="7" t="s">
        <v>127</v>
      </c>
      <c r="K10" s="3"/>
      <c r="L10" s="3"/>
      <c r="M10" s="3"/>
      <c r="N10" s="3"/>
      <c r="O10" s="25"/>
      <c r="P10" s="3"/>
      <c r="Q10" s="3" t="str">
        <f t="shared" ca="1" si="0"/>
        <v/>
      </c>
      <c r="R10" s="3"/>
      <c r="S10" s="3"/>
      <c r="T10" s="3"/>
      <c r="U10" s="3"/>
      <c r="V10" s="3"/>
      <c r="W10" s="3"/>
      <c r="X10" s="3"/>
      <c r="Y10" s="3"/>
      <c r="Z10" s="3"/>
      <c r="AA10" s="3"/>
      <c r="AB10" s="3"/>
      <c r="AC10" s="3"/>
      <c r="AD10" s="3"/>
    </row>
    <row r="11" spans="1:30" s="11" customFormat="1" ht="250.8" x14ac:dyDescent="0.3">
      <c r="A11" s="3"/>
      <c r="B11" s="6">
        <v>45901</v>
      </c>
      <c r="C11" s="5" t="s">
        <v>64</v>
      </c>
      <c r="D11" s="5" t="s">
        <v>34</v>
      </c>
      <c r="E11" s="5" t="s">
        <v>35</v>
      </c>
      <c r="F11" s="5" t="s">
        <v>36</v>
      </c>
      <c r="G11" s="3" t="s">
        <v>41</v>
      </c>
      <c r="H11" s="3" t="s">
        <v>44</v>
      </c>
      <c r="I11" s="3" t="s">
        <v>45</v>
      </c>
      <c r="J11" s="5" t="s">
        <v>128</v>
      </c>
      <c r="K11" s="3"/>
      <c r="L11" s="3"/>
      <c r="M11" s="3"/>
      <c r="N11" s="3"/>
      <c r="O11" s="26"/>
      <c r="P11" s="3"/>
      <c r="Q11" s="3" t="str">
        <f t="shared" ca="1" si="0"/>
        <v/>
      </c>
      <c r="R11" s="3"/>
      <c r="S11" s="3"/>
      <c r="T11" s="3"/>
      <c r="U11" s="3"/>
      <c r="V11" s="3"/>
      <c r="W11" s="3"/>
      <c r="X11" s="3"/>
      <c r="Y11" s="3"/>
      <c r="Z11" s="3"/>
      <c r="AA11" s="3"/>
      <c r="AB11" s="3"/>
      <c r="AC11" s="3"/>
      <c r="AD11" s="3"/>
    </row>
    <row r="12" spans="1:30" s="11" customFormat="1" ht="105.6" x14ac:dyDescent="0.3">
      <c r="A12" s="3"/>
      <c r="B12" s="6">
        <v>45778</v>
      </c>
      <c r="C12" s="3" t="s">
        <v>65</v>
      </c>
      <c r="D12" s="3" t="s">
        <v>47</v>
      </c>
      <c r="E12" s="3" t="s">
        <v>48</v>
      </c>
      <c r="F12" s="5" t="s">
        <v>58</v>
      </c>
      <c r="G12" s="3" t="s">
        <v>57</v>
      </c>
      <c r="H12" s="3" t="s">
        <v>49</v>
      </c>
      <c r="I12" s="3" t="s">
        <v>60</v>
      </c>
      <c r="J12" s="3"/>
      <c r="K12" s="3"/>
      <c r="L12" s="3"/>
      <c r="M12" s="3"/>
      <c r="N12" s="3"/>
      <c r="O12" s="3"/>
      <c r="P12" s="3"/>
      <c r="Q12" s="3" t="str">
        <f t="shared" ca="1" si="0"/>
        <v/>
      </c>
      <c r="R12" s="3"/>
      <c r="S12" s="3"/>
      <c r="T12" s="3"/>
      <c r="U12" s="3"/>
      <c r="V12" s="3"/>
      <c r="W12" s="3"/>
      <c r="X12" s="3"/>
      <c r="Y12" s="3"/>
      <c r="Z12" s="3"/>
      <c r="AA12" s="3"/>
      <c r="AB12" s="3"/>
      <c r="AC12" s="3"/>
      <c r="AD12" s="3"/>
    </row>
    <row r="13" spans="1:30" s="11" customFormat="1" ht="105.6" x14ac:dyDescent="0.3">
      <c r="A13" s="3"/>
      <c r="B13" s="6">
        <v>45778</v>
      </c>
      <c r="C13" s="3" t="s">
        <v>65</v>
      </c>
      <c r="D13" s="3" t="s">
        <v>47</v>
      </c>
      <c r="E13" s="3" t="s">
        <v>48</v>
      </c>
      <c r="F13" s="5" t="s">
        <v>36</v>
      </c>
      <c r="G13" s="3" t="s">
        <v>55</v>
      </c>
      <c r="H13" s="3" t="s">
        <v>50</v>
      </c>
      <c r="I13" s="3" t="s">
        <v>60</v>
      </c>
      <c r="J13" s="3"/>
      <c r="K13" s="3"/>
      <c r="L13" s="3"/>
      <c r="M13" s="3"/>
      <c r="N13" s="3"/>
      <c r="O13" s="3"/>
      <c r="P13" s="3"/>
      <c r="Q13" s="3" t="str">
        <f t="shared" ca="1" si="0"/>
        <v/>
      </c>
      <c r="R13" s="3"/>
      <c r="S13" s="3"/>
      <c r="T13" s="3"/>
      <c r="U13" s="3"/>
      <c r="V13" s="3"/>
      <c r="W13" s="3"/>
      <c r="X13" s="3"/>
      <c r="Y13" s="3"/>
      <c r="Z13" s="3"/>
      <c r="AA13" s="3"/>
      <c r="AB13" s="3"/>
      <c r="AC13" s="3"/>
      <c r="AD13" s="3"/>
    </row>
    <row r="14" spans="1:30" s="11" customFormat="1" ht="105.6" x14ac:dyDescent="0.3">
      <c r="A14" s="3"/>
      <c r="B14" s="6">
        <v>45778</v>
      </c>
      <c r="C14" s="3" t="s">
        <v>65</v>
      </c>
      <c r="D14" s="3" t="s">
        <v>47</v>
      </c>
      <c r="E14" s="3" t="s">
        <v>48</v>
      </c>
      <c r="F14" s="5" t="s">
        <v>36</v>
      </c>
      <c r="G14" s="3" t="s">
        <v>55</v>
      </c>
      <c r="H14" s="3" t="s">
        <v>51</v>
      </c>
      <c r="I14" s="3" t="s">
        <v>60</v>
      </c>
      <c r="J14" s="3"/>
      <c r="K14" s="3"/>
      <c r="L14" s="3"/>
      <c r="M14" s="3"/>
      <c r="N14" s="3"/>
      <c r="O14" s="3"/>
      <c r="P14" s="3"/>
      <c r="Q14" s="3" t="str">
        <f t="shared" ca="1" si="0"/>
        <v/>
      </c>
      <c r="R14" s="3"/>
      <c r="S14" s="3"/>
      <c r="T14" s="3"/>
      <c r="U14" s="3"/>
      <c r="V14" s="3"/>
      <c r="W14" s="3"/>
      <c r="X14" s="3"/>
      <c r="Y14" s="3"/>
      <c r="Z14" s="3"/>
      <c r="AA14" s="3"/>
      <c r="AB14" s="3"/>
      <c r="AC14" s="3"/>
      <c r="AD14" s="3"/>
    </row>
    <row r="15" spans="1:30" s="11" customFormat="1" ht="105.6" x14ac:dyDescent="0.3">
      <c r="A15" s="3"/>
      <c r="B15" s="6">
        <v>45778</v>
      </c>
      <c r="C15" s="3" t="s">
        <v>65</v>
      </c>
      <c r="D15" s="3" t="s">
        <v>47</v>
      </c>
      <c r="E15" s="3" t="s">
        <v>48</v>
      </c>
      <c r="F15" s="5" t="s">
        <v>58</v>
      </c>
      <c r="G15" s="3" t="s">
        <v>55</v>
      </c>
      <c r="H15" s="3" t="s">
        <v>52</v>
      </c>
      <c r="I15" s="3" t="s">
        <v>60</v>
      </c>
      <c r="J15" s="3"/>
      <c r="K15" s="3"/>
      <c r="L15" s="3"/>
      <c r="M15" s="3"/>
      <c r="N15" s="3"/>
      <c r="O15" s="3"/>
      <c r="P15" s="3"/>
      <c r="Q15" s="3" t="str">
        <f t="shared" ca="1" si="0"/>
        <v/>
      </c>
      <c r="R15" s="3"/>
      <c r="S15" s="3"/>
      <c r="T15" s="3"/>
      <c r="U15" s="3"/>
      <c r="V15" s="3"/>
      <c r="W15" s="3"/>
      <c r="X15" s="3"/>
      <c r="Y15" s="3"/>
      <c r="Z15" s="3"/>
      <c r="AA15" s="3"/>
      <c r="AB15" s="3"/>
      <c r="AC15" s="3"/>
      <c r="AD15" s="3"/>
    </row>
    <row r="16" spans="1:30" s="11" customFormat="1" ht="105.6" x14ac:dyDescent="0.3">
      <c r="A16" s="3"/>
      <c r="B16" s="6">
        <v>45778</v>
      </c>
      <c r="C16" s="3" t="s">
        <v>65</v>
      </c>
      <c r="D16" s="3" t="s">
        <v>47</v>
      </c>
      <c r="E16" s="3" t="s">
        <v>48</v>
      </c>
      <c r="F16" s="5" t="s">
        <v>36</v>
      </c>
      <c r="G16" s="3" t="s">
        <v>56</v>
      </c>
      <c r="H16" s="3" t="s">
        <v>53</v>
      </c>
      <c r="I16" s="3" t="s">
        <v>60</v>
      </c>
      <c r="J16" s="3"/>
      <c r="K16" s="3"/>
      <c r="L16" s="3"/>
      <c r="M16" s="3"/>
      <c r="N16" s="3"/>
      <c r="O16" s="3"/>
      <c r="P16" s="3"/>
      <c r="Q16" s="3" t="str">
        <f t="shared" ca="1" si="0"/>
        <v/>
      </c>
      <c r="R16" s="3"/>
      <c r="S16" s="3"/>
      <c r="T16" s="3"/>
      <c r="U16" s="3"/>
      <c r="V16" s="3"/>
      <c r="W16" s="3"/>
      <c r="X16" s="3"/>
      <c r="Y16" s="3"/>
      <c r="Z16" s="3"/>
      <c r="AA16" s="3"/>
      <c r="AB16" s="3"/>
      <c r="AC16" s="3"/>
      <c r="AD16" s="3"/>
    </row>
    <row r="17" spans="1:30" s="11" customFormat="1" ht="105.6" x14ac:dyDescent="0.3">
      <c r="A17" s="3"/>
      <c r="B17" s="6">
        <v>45778</v>
      </c>
      <c r="C17" s="3" t="s">
        <v>65</v>
      </c>
      <c r="D17" s="3" t="s">
        <v>47</v>
      </c>
      <c r="E17" s="3" t="s">
        <v>48</v>
      </c>
      <c r="F17" s="5" t="s">
        <v>59</v>
      </c>
      <c r="G17" s="3" t="s">
        <v>55</v>
      </c>
      <c r="H17" s="3" t="s">
        <v>54</v>
      </c>
      <c r="I17" s="3" t="s">
        <v>60</v>
      </c>
      <c r="J17" s="3"/>
      <c r="K17" s="3"/>
      <c r="L17" s="3"/>
      <c r="M17" s="3"/>
      <c r="N17" s="3"/>
      <c r="O17" s="3"/>
      <c r="P17" s="3"/>
      <c r="Q17" s="3" t="str">
        <f t="shared" ca="1" si="0"/>
        <v/>
      </c>
      <c r="R17" s="3"/>
      <c r="S17" s="3"/>
      <c r="T17" s="3"/>
      <c r="U17" s="3"/>
      <c r="V17" s="3"/>
      <c r="W17" s="3"/>
      <c r="X17" s="3"/>
      <c r="Y17" s="3"/>
      <c r="Z17" s="3"/>
      <c r="AA17" s="3"/>
      <c r="AB17" s="3"/>
      <c r="AC17" s="3"/>
      <c r="AD17" s="3"/>
    </row>
    <row r="18" spans="1:30" s="11" customFormat="1" ht="52.8" x14ac:dyDescent="0.3">
      <c r="A18" s="3"/>
      <c r="B18" s="6">
        <v>45505</v>
      </c>
      <c r="C18" s="3" t="s">
        <v>66</v>
      </c>
      <c r="D18" s="3" t="s">
        <v>61</v>
      </c>
      <c r="E18" s="3" t="s">
        <v>130</v>
      </c>
      <c r="F18" s="5" t="s">
        <v>36</v>
      </c>
      <c r="G18" s="3" t="s">
        <v>62</v>
      </c>
      <c r="H18" s="11" t="s">
        <v>67</v>
      </c>
      <c r="I18" s="3" t="s">
        <v>70</v>
      </c>
      <c r="J18" s="3"/>
      <c r="K18" s="3"/>
      <c r="L18" s="3"/>
      <c r="M18" s="3"/>
      <c r="N18" s="3"/>
      <c r="O18" s="3"/>
      <c r="P18" s="3"/>
      <c r="Q18" s="3" t="str">
        <f t="shared" ca="1" si="0"/>
        <v/>
      </c>
      <c r="R18" s="3"/>
      <c r="S18" s="3"/>
      <c r="T18" s="3"/>
      <c r="U18" s="3"/>
      <c r="V18" s="3"/>
      <c r="W18" s="3"/>
      <c r="X18" s="3"/>
      <c r="Y18" s="3"/>
      <c r="Z18" s="3"/>
      <c r="AA18" s="3"/>
      <c r="AB18" s="3"/>
      <c r="AC18" s="3"/>
      <c r="AD18" s="3"/>
    </row>
    <row r="19" spans="1:30" s="11" customFormat="1" ht="66" x14ac:dyDescent="0.3">
      <c r="A19" s="3"/>
      <c r="B19" s="6">
        <v>45505</v>
      </c>
      <c r="C19" s="3" t="s">
        <v>66</v>
      </c>
      <c r="D19" s="3" t="s">
        <v>61</v>
      </c>
      <c r="E19" s="3" t="s">
        <v>130</v>
      </c>
      <c r="F19" s="5" t="s">
        <v>36</v>
      </c>
      <c r="G19" s="3" t="s">
        <v>68</v>
      </c>
      <c r="H19" s="3" t="s">
        <v>69</v>
      </c>
      <c r="I19" s="3" t="s">
        <v>70</v>
      </c>
      <c r="J19" s="3"/>
      <c r="K19" s="3"/>
      <c r="L19" s="3"/>
      <c r="M19" s="3"/>
      <c r="N19" s="3"/>
      <c r="O19" s="3"/>
      <c r="P19" s="3"/>
      <c r="Q19" s="3" t="str">
        <f t="shared" ca="1" si="0"/>
        <v/>
      </c>
      <c r="R19" s="3"/>
      <c r="S19" s="3"/>
      <c r="T19" s="3"/>
      <c r="U19" s="3"/>
      <c r="V19" s="3"/>
      <c r="W19" s="3"/>
      <c r="X19" s="3"/>
      <c r="Y19" s="3"/>
      <c r="Z19" s="3"/>
      <c r="AA19" s="3"/>
      <c r="AB19" s="3"/>
      <c r="AC19" s="3"/>
      <c r="AD19" s="3"/>
    </row>
    <row r="20" spans="1:30" s="11" customFormat="1" ht="66" x14ac:dyDescent="0.3">
      <c r="A20" s="3"/>
      <c r="B20" s="6">
        <v>45505</v>
      </c>
      <c r="C20" s="3" t="s">
        <v>66</v>
      </c>
      <c r="D20" s="3" t="s">
        <v>61</v>
      </c>
      <c r="E20" s="3" t="s">
        <v>130</v>
      </c>
      <c r="F20" s="5" t="s">
        <v>36</v>
      </c>
      <c r="G20" s="3" t="s">
        <v>71</v>
      </c>
      <c r="H20" s="3" t="s">
        <v>72</v>
      </c>
      <c r="I20" s="3" t="s">
        <v>73</v>
      </c>
      <c r="J20" s="3"/>
      <c r="K20" s="3"/>
      <c r="L20" s="3"/>
      <c r="M20" s="3"/>
      <c r="N20" s="3"/>
      <c r="O20" s="3"/>
      <c r="P20" s="3"/>
      <c r="Q20" s="3" t="str">
        <f t="shared" ca="1" si="0"/>
        <v/>
      </c>
      <c r="R20" s="3"/>
      <c r="S20" s="3"/>
      <c r="T20" s="3"/>
      <c r="U20" s="3"/>
      <c r="V20" s="3"/>
      <c r="W20" s="3"/>
      <c r="X20" s="3"/>
      <c r="Y20" s="3"/>
      <c r="Z20" s="3"/>
      <c r="AA20" s="3"/>
      <c r="AB20" s="3"/>
      <c r="AC20" s="3"/>
      <c r="AD20" s="3"/>
    </row>
    <row r="21" spans="1:30" s="11" customFormat="1" ht="52.8" x14ac:dyDescent="0.3">
      <c r="A21" s="3"/>
      <c r="B21" s="6">
        <v>45505</v>
      </c>
      <c r="C21" s="3" t="s">
        <v>66</v>
      </c>
      <c r="D21" s="3" t="s">
        <v>61</v>
      </c>
      <c r="E21" s="3" t="s">
        <v>130</v>
      </c>
      <c r="F21" s="5" t="s">
        <v>58</v>
      </c>
      <c r="G21" s="3" t="s">
        <v>74</v>
      </c>
      <c r="H21" s="3" t="s">
        <v>75</v>
      </c>
      <c r="I21" s="3" t="s">
        <v>78</v>
      </c>
      <c r="J21" s="3"/>
      <c r="K21" s="3"/>
      <c r="L21" s="3"/>
      <c r="M21" s="3"/>
      <c r="N21" s="3"/>
      <c r="O21" s="3"/>
      <c r="P21" s="3"/>
      <c r="Q21" s="3" t="str">
        <f t="shared" ca="1" si="0"/>
        <v/>
      </c>
      <c r="R21" s="3"/>
      <c r="S21" s="3"/>
      <c r="T21" s="3"/>
      <c r="U21" s="3"/>
      <c r="V21" s="3"/>
      <c r="W21" s="3"/>
      <c r="X21" s="3"/>
      <c r="Y21" s="3"/>
      <c r="Z21" s="3"/>
      <c r="AA21" s="3"/>
      <c r="AB21" s="3"/>
      <c r="AC21" s="3"/>
      <c r="AD21" s="3"/>
    </row>
    <row r="22" spans="1:30" s="11" customFormat="1" ht="92.4" x14ac:dyDescent="0.3">
      <c r="A22" s="3"/>
      <c r="B22" s="6">
        <v>45505</v>
      </c>
      <c r="C22" s="3" t="s">
        <v>66</v>
      </c>
      <c r="D22" s="3" t="s">
        <v>61</v>
      </c>
      <c r="E22" s="3" t="s">
        <v>130</v>
      </c>
      <c r="F22" s="5" t="s">
        <v>36</v>
      </c>
      <c r="G22" s="3" t="s">
        <v>76</v>
      </c>
      <c r="H22" s="3" t="s">
        <v>77</v>
      </c>
      <c r="I22" s="3" t="s">
        <v>79</v>
      </c>
      <c r="J22" s="3"/>
      <c r="K22" s="3"/>
      <c r="L22" s="3"/>
      <c r="M22" s="3"/>
      <c r="N22" s="3"/>
      <c r="O22" s="3"/>
      <c r="P22" s="3"/>
      <c r="Q22" s="3" t="str">
        <f t="shared" ca="1" si="0"/>
        <v/>
      </c>
      <c r="R22" s="3"/>
      <c r="S22" s="3"/>
      <c r="T22" s="3"/>
      <c r="U22" s="3"/>
      <c r="V22" s="3"/>
      <c r="W22" s="3"/>
      <c r="X22" s="3"/>
      <c r="Y22" s="3"/>
      <c r="Z22" s="3"/>
      <c r="AA22" s="3"/>
      <c r="AB22" s="3"/>
      <c r="AC22" s="3"/>
      <c r="AD22" s="3"/>
    </row>
    <row r="23" spans="1:30" s="11" customFormat="1" ht="79.2" x14ac:dyDescent="0.3">
      <c r="A23" s="3"/>
      <c r="B23" s="6">
        <v>45505</v>
      </c>
      <c r="C23" s="3" t="s">
        <v>66</v>
      </c>
      <c r="D23" s="3" t="s">
        <v>61</v>
      </c>
      <c r="E23" s="3" t="s">
        <v>130</v>
      </c>
      <c r="F23" s="5" t="s">
        <v>58</v>
      </c>
      <c r="G23" s="3" t="s">
        <v>80</v>
      </c>
      <c r="H23" s="3" t="s">
        <v>81</v>
      </c>
      <c r="I23" s="3"/>
      <c r="J23" s="3"/>
      <c r="K23" s="3"/>
      <c r="L23" s="3"/>
      <c r="M23" s="3"/>
      <c r="N23" s="3"/>
      <c r="O23" s="3"/>
      <c r="P23" s="3"/>
      <c r="Q23" s="3" t="str">
        <f t="shared" ca="1" si="0"/>
        <v/>
      </c>
      <c r="R23" s="3"/>
      <c r="S23" s="3"/>
      <c r="T23" s="3"/>
      <c r="U23" s="3"/>
      <c r="V23" s="3"/>
      <c r="W23" s="3"/>
      <c r="X23" s="3"/>
      <c r="Y23" s="3"/>
      <c r="Z23" s="3"/>
      <c r="AA23" s="3"/>
      <c r="AB23" s="3"/>
      <c r="AC23" s="3"/>
      <c r="AD23" s="3"/>
    </row>
    <row r="24" spans="1:30" s="11" customFormat="1" ht="92.4" x14ac:dyDescent="0.3">
      <c r="A24" s="3"/>
      <c r="B24" s="6">
        <v>45413</v>
      </c>
      <c r="C24" s="3" t="s">
        <v>83</v>
      </c>
      <c r="D24" s="3" t="s">
        <v>84</v>
      </c>
      <c r="E24" s="3" t="s">
        <v>85</v>
      </c>
      <c r="F24" s="5" t="s">
        <v>36</v>
      </c>
      <c r="G24" s="3" t="s">
        <v>86</v>
      </c>
      <c r="H24" s="3" t="s">
        <v>87</v>
      </c>
      <c r="I24" s="3" t="s">
        <v>88</v>
      </c>
      <c r="J24" s="3"/>
      <c r="K24" s="3"/>
      <c r="L24" s="3"/>
      <c r="M24" s="3"/>
      <c r="N24" s="3"/>
      <c r="O24" s="3"/>
      <c r="P24" s="3"/>
      <c r="Q24" s="3" t="str">
        <f t="shared" ca="1" si="0"/>
        <v/>
      </c>
      <c r="R24" s="3"/>
      <c r="S24" s="3"/>
      <c r="T24" s="3"/>
      <c r="U24" s="3"/>
      <c r="V24" s="3"/>
      <c r="W24" s="3"/>
      <c r="X24" s="3"/>
      <c r="Y24" s="3"/>
      <c r="Z24" s="3"/>
      <c r="AA24" s="3"/>
      <c r="AB24" s="3"/>
      <c r="AC24" s="3"/>
      <c r="AD24" s="3"/>
    </row>
    <row r="25" spans="1:30" s="11" customFormat="1" ht="92.4" x14ac:dyDescent="0.3">
      <c r="A25" s="3"/>
      <c r="B25" s="6">
        <v>45413</v>
      </c>
      <c r="C25" s="3" t="s">
        <v>83</v>
      </c>
      <c r="D25" s="3" t="s">
        <v>84</v>
      </c>
      <c r="E25" s="3" t="s">
        <v>85</v>
      </c>
      <c r="F25" s="5" t="s">
        <v>58</v>
      </c>
      <c r="G25" s="3" t="s">
        <v>89</v>
      </c>
      <c r="H25" s="3" t="s">
        <v>90</v>
      </c>
      <c r="I25" s="3" t="s">
        <v>91</v>
      </c>
      <c r="J25" s="3"/>
      <c r="K25" s="3"/>
      <c r="L25" s="3"/>
      <c r="M25" s="3"/>
      <c r="N25" s="3"/>
      <c r="O25" s="3"/>
      <c r="P25" s="3"/>
      <c r="Q25" s="3" t="str">
        <f t="shared" ca="1" si="0"/>
        <v/>
      </c>
      <c r="R25" s="3"/>
      <c r="S25" s="3"/>
      <c r="T25" s="3"/>
      <c r="U25" s="3"/>
      <c r="V25" s="3"/>
      <c r="W25" s="3"/>
      <c r="X25" s="3"/>
      <c r="Y25" s="3"/>
      <c r="Z25" s="3"/>
      <c r="AA25" s="3"/>
      <c r="AB25" s="3"/>
      <c r="AC25" s="3"/>
      <c r="AD25" s="3"/>
    </row>
    <row r="26" spans="1:30" s="11" customFormat="1" ht="13.2" x14ac:dyDescent="0.3">
      <c r="A26" s="3"/>
      <c r="B26" s="3"/>
      <c r="C26" s="3"/>
      <c r="D26" s="3"/>
      <c r="E26" s="3"/>
      <c r="F26" s="5"/>
      <c r="G26" s="3"/>
      <c r="H26" s="3"/>
      <c r="I26" s="3"/>
      <c r="J26" s="3"/>
      <c r="K26" s="3"/>
      <c r="L26" s="3"/>
      <c r="M26" s="3"/>
      <c r="N26" s="3"/>
      <c r="O26" s="3"/>
      <c r="P26" s="3"/>
      <c r="Q26" s="3" t="str">
        <f t="shared" ca="1" si="0"/>
        <v/>
      </c>
      <c r="R26" s="3"/>
      <c r="S26" s="3"/>
      <c r="T26" s="3"/>
      <c r="U26" s="3"/>
      <c r="V26" s="3"/>
      <c r="W26" s="3"/>
      <c r="X26" s="3"/>
      <c r="Y26" s="3"/>
      <c r="Z26" s="3"/>
      <c r="AA26" s="3"/>
      <c r="AB26" s="3"/>
      <c r="AC26" s="3"/>
      <c r="AD26" s="3"/>
    </row>
    <row r="27" spans="1:30" s="11" customFormat="1" ht="13.2" x14ac:dyDescent="0.3">
      <c r="A27" s="3"/>
      <c r="B27" s="3"/>
      <c r="C27" s="3"/>
      <c r="D27" s="3"/>
      <c r="E27" s="3"/>
      <c r="F27" s="5"/>
      <c r="G27" s="3"/>
      <c r="H27" s="3"/>
      <c r="I27" s="3"/>
      <c r="J27" s="3"/>
      <c r="K27" s="3"/>
      <c r="L27" s="3"/>
      <c r="M27" s="3"/>
      <c r="N27" s="3"/>
      <c r="O27" s="3"/>
      <c r="P27" s="3"/>
      <c r="Q27" s="3" t="str">
        <f t="shared" ca="1" si="0"/>
        <v/>
      </c>
      <c r="R27" s="3"/>
      <c r="S27" s="3"/>
      <c r="T27" s="3"/>
      <c r="U27" s="3"/>
      <c r="V27" s="3"/>
      <c r="W27" s="3"/>
      <c r="X27" s="3"/>
      <c r="Y27" s="3"/>
      <c r="Z27" s="3"/>
      <c r="AA27" s="3"/>
      <c r="AB27" s="3"/>
      <c r="AC27" s="3"/>
      <c r="AD27" s="3"/>
    </row>
    <row r="28" spans="1:30" s="11" customFormat="1" ht="13.2" x14ac:dyDescent="0.3">
      <c r="A28" s="3"/>
      <c r="B28" s="3"/>
      <c r="C28" s="3"/>
      <c r="D28" s="3"/>
      <c r="E28" s="3"/>
      <c r="F28" s="5"/>
      <c r="G28" s="3"/>
      <c r="H28" s="3"/>
      <c r="I28" s="3"/>
      <c r="J28" s="3"/>
      <c r="K28" s="3"/>
      <c r="L28" s="3"/>
      <c r="M28" s="3"/>
      <c r="N28" s="3"/>
      <c r="O28" s="3"/>
      <c r="P28" s="3"/>
      <c r="Q28" s="3" t="str">
        <f t="shared" ca="1" si="0"/>
        <v/>
      </c>
      <c r="R28" s="3"/>
      <c r="S28" s="3"/>
      <c r="T28" s="3"/>
      <c r="U28" s="3"/>
      <c r="V28" s="3"/>
      <c r="W28" s="3"/>
      <c r="X28" s="3"/>
      <c r="Y28" s="3"/>
      <c r="Z28" s="3"/>
      <c r="AA28" s="3"/>
      <c r="AB28" s="3"/>
      <c r="AC28" s="3"/>
      <c r="AD28" s="3"/>
    </row>
    <row r="29" spans="1:30" s="11" customFormat="1" ht="13.2" x14ac:dyDescent="0.3">
      <c r="A29" s="3"/>
      <c r="B29" s="3"/>
      <c r="C29" s="3"/>
      <c r="D29" s="3"/>
      <c r="E29" s="3"/>
      <c r="F29" s="5"/>
      <c r="G29" s="3"/>
      <c r="H29" s="3"/>
      <c r="I29" s="3"/>
      <c r="J29" s="3"/>
      <c r="K29" s="3"/>
      <c r="L29" s="3"/>
      <c r="M29" s="3"/>
      <c r="N29" s="3"/>
      <c r="O29" s="3"/>
      <c r="P29" s="3"/>
      <c r="Q29" s="3" t="str">
        <f t="shared" ca="1" si="0"/>
        <v/>
      </c>
      <c r="R29" s="3"/>
      <c r="S29" s="3"/>
      <c r="T29" s="3"/>
      <c r="U29" s="3"/>
      <c r="V29" s="3"/>
      <c r="W29" s="3"/>
      <c r="X29" s="3"/>
      <c r="Y29" s="3"/>
      <c r="Z29" s="3"/>
      <c r="AA29" s="3"/>
      <c r="AB29" s="3"/>
      <c r="AC29" s="3"/>
      <c r="AD29" s="3"/>
    </row>
    <row r="30" spans="1:30" s="11" customFormat="1" ht="13.2" x14ac:dyDescent="0.3">
      <c r="A30" s="3"/>
      <c r="B30" s="3"/>
      <c r="C30" s="3"/>
      <c r="D30" s="3"/>
      <c r="E30" s="3"/>
      <c r="F30" s="5"/>
      <c r="G30" s="3"/>
      <c r="H30" s="3"/>
      <c r="I30" s="3"/>
      <c r="J30" s="3"/>
      <c r="K30" s="3"/>
      <c r="L30" s="3"/>
      <c r="M30" s="3"/>
      <c r="N30" s="3"/>
      <c r="O30" s="3"/>
      <c r="P30" s="3"/>
      <c r="Q30" s="3" t="str">
        <f t="shared" ca="1" si="0"/>
        <v/>
      </c>
      <c r="R30" s="3"/>
      <c r="S30" s="3"/>
      <c r="T30" s="3"/>
      <c r="U30" s="3"/>
      <c r="V30" s="3"/>
      <c r="W30" s="3"/>
      <c r="X30" s="3"/>
      <c r="Y30" s="3"/>
      <c r="Z30" s="3"/>
      <c r="AA30" s="3"/>
      <c r="AB30" s="3"/>
      <c r="AC30" s="3"/>
      <c r="AD30" s="3"/>
    </row>
    <row r="31" spans="1:30" s="11" customFormat="1" ht="13.2" x14ac:dyDescent="0.3">
      <c r="A31" s="3"/>
      <c r="B31" s="3"/>
      <c r="C31" s="3"/>
      <c r="D31" s="3"/>
      <c r="E31" s="3"/>
      <c r="F31" s="5"/>
      <c r="G31" s="3"/>
      <c r="H31" s="3"/>
      <c r="I31" s="3"/>
      <c r="J31" s="3"/>
      <c r="K31" s="3"/>
      <c r="L31" s="3"/>
      <c r="M31" s="3"/>
      <c r="N31" s="3"/>
      <c r="O31" s="3"/>
      <c r="P31" s="3"/>
      <c r="Q31" s="3" t="str">
        <f t="shared" ca="1" si="0"/>
        <v/>
      </c>
      <c r="R31" s="3"/>
      <c r="S31" s="3"/>
      <c r="T31" s="3"/>
      <c r="U31" s="3"/>
      <c r="V31" s="3"/>
      <c r="W31" s="3"/>
      <c r="X31" s="3"/>
      <c r="Y31" s="3"/>
      <c r="Z31" s="3"/>
      <c r="AA31" s="3"/>
      <c r="AB31" s="3"/>
      <c r="AC31" s="3"/>
      <c r="AD31" s="3"/>
    </row>
    <row r="32" spans="1:30" s="11" customFormat="1" ht="13.2" x14ac:dyDescent="0.3">
      <c r="A32" s="3"/>
      <c r="B32" s="3"/>
      <c r="C32" s="3"/>
      <c r="D32" s="3"/>
      <c r="E32" s="3"/>
      <c r="F32" s="5"/>
      <c r="G32" s="3"/>
      <c r="H32" s="3"/>
      <c r="I32" s="3"/>
      <c r="J32" s="3"/>
      <c r="K32" s="3"/>
      <c r="L32" s="3"/>
      <c r="M32" s="3"/>
      <c r="N32" s="3"/>
      <c r="O32" s="3"/>
      <c r="P32" s="3"/>
      <c r="Q32" s="3" t="str">
        <f t="shared" ca="1" si="0"/>
        <v/>
      </c>
      <c r="R32" s="3"/>
      <c r="S32" s="3"/>
      <c r="T32" s="3"/>
      <c r="U32" s="3"/>
      <c r="V32" s="3"/>
      <c r="W32" s="3"/>
      <c r="X32" s="3"/>
      <c r="Y32" s="3"/>
      <c r="Z32" s="3"/>
      <c r="AA32" s="3"/>
      <c r="AB32" s="3"/>
      <c r="AC32" s="3"/>
      <c r="AD32" s="3"/>
    </row>
    <row r="33" spans="1:30" s="11" customFormat="1" ht="13.2" x14ac:dyDescent="0.3">
      <c r="A33" s="3"/>
      <c r="B33" s="3"/>
      <c r="C33" s="3"/>
      <c r="D33" s="3"/>
      <c r="E33" s="3"/>
      <c r="F33" s="5"/>
      <c r="G33" s="3"/>
      <c r="H33" s="3"/>
      <c r="I33" s="3"/>
      <c r="J33" s="3"/>
      <c r="K33" s="3"/>
      <c r="L33" s="3"/>
      <c r="M33" s="3"/>
      <c r="N33" s="3"/>
      <c r="O33" s="3"/>
      <c r="P33" s="3"/>
      <c r="Q33" s="3" t="str">
        <f t="shared" ca="1" si="0"/>
        <v/>
      </c>
      <c r="R33" s="3"/>
      <c r="S33" s="3"/>
      <c r="T33" s="3"/>
      <c r="U33" s="3"/>
      <c r="V33" s="3"/>
      <c r="W33" s="3"/>
      <c r="X33" s="3"/>
      <c r="Y33" s="3"/>
      <c r="Z33" s="3"/>
      <c r="AA33" s="3"/>
      <c r="AB33" s="3"/>
      <c r="AC33" s="3"/>
      <c r="AD33" s="3"/>
    </row>
    <row r="34" spans="1:30" s="11" customFormat="1" ht="13.2" x14ac:dyDescent="0.3">
      <c r="A34" s="3"/>
      <c r="B34" s="3"/>
      <c r="C34" s="3"/>
      <c r="D34" s="3"/>
      <c r="E34" s="3"/>
      <c r="F34" s="5"/>
      <c r="G34" s="3"/>
      <c r="H34" s="3"/>
      <c r="I34" s="3"/>
      <c r="J34" s="3"/>
      <c r="K34" s="3"/>
      <c r="L34" s="3"/>
      <c r="M34" s="3"/>
      <c r="N34" s="3"/>
      <c r="O34" s="3"/>
      <c r="P34" s="3"/>
      <c r="Q34" s="3" t="str">
        <f t="shared" ca="1" si="0"/>
        <v/>
      </c>
      <c r="R34" s="3"/>
      <c r="S34" s="3"/>
      <c r="T34" s="3"/>
      <c r="U34" s="3"/>
      <c r="V34" s="3"/>
      <c r="W34" s="3"/>
      <c r="X34" s="3"/>
      <c r="Y34" s="3"/>
      <c r="Z34" s="3"/>
      <c r="AA34" s="3"/>
      <c r="AB34" s="3"/>
      <c r="AC34" s="3"/>
      <c r="AD34" s="3"/>
    </row>
    <row r="35" spans="1:30" s="11" customFormat="1" ht="13.2" x14ac:dyDescent="0.3">
      <c r="A35" s="3"/>
      <c r="B35" s="3"/>
      <c r="C35" s="3"/>
      <c r="D35" s="3"/>
      <c r="E35" s="3"/>
      <c r="F35" s="5"/>
      <c r="G35" s="3"/>
      <c r="H35" s="3"/>
      <c r="I35" s="3"/>
      <c r="J35" s="3"/>
      <c r="K35" s="3"/>
      <c r="L35" s="3"/>
      <c r="M35" s="3"/>
      <c r="N35" s="3"/>
      <c r="O35" s="3"/>
      <c r="P35" s="3"/>
      <c r="Q35" s="3" t="str">
        <f t="shared" ca="1" si="0"/>
        <v/>
      </c>
      <c r="R35" s="3"/>
      <c r="S35" s="3"/>
      <c r="T35" s="3"/>
      <c r="U35" s="3"/>
      <c r="V35" s="3"/>
      <c r="W35" s="3"/>
      <c r="X35" s="3"/>
      <c r="Y35" s="3"/>
      <c r="Z35" s="3"/>
      <c r="AA35" s="3"/>
      <c r="AB35" s="3"/>
      <c r="AC35" s="3"/>
      <c r="AD35" s="3"/>
    </row>
    <row r="36" spans="1:30" s="11" customFormat="1" ht="13.2" x14ac:dyDescent="0.3">
      <c r="A36" s="3"/>
      <c r="B36" s="3"/>
      <c r="C36" s="3"/>
      <c r="D36" s="3"/>
      <c r="E36" s="3"/>
      <c r="F36" s="5"/>
      <c r="G36" s="3"/>
      <c r="H36" s="3"/>
      <c r="I36" s="3"/>
      <c r="J36" s="3"/>
      <c r="K36" s="3"/>
      <c r="L36" s="3"/>
      <c r="M36" s="3"/>
      <c r="N36" s="3"/>
      <c r="O36" s="3"/>
      <c r="P36" s="3"/>
      <c r="Q36" s="3" t="str">
        <f t="shared" ca="1" si="0"/>
        <v/>
      </c>
      <c r="R36" s="3"/>
      <c r="S36" s="3"/>
      <c r="T36" s="3"/>
      <c r="U36" s="3"/>
      <c r="V36" s="3"/>
      <c r="W36" s="3"/>
      <c r="X36" s="3"/>
      <c r="Y36" s="3"/>
      <c r="Z36" s="3"/>
      <c r="AA36" s="3"/>
      <c r="AB36" s="3"/>
      <c r="AC36" s="3"/>
      <c r="AD36" s="3"/>
    </row>
    <row r="37" spans="1:30" s="11" customFormat="1" ht="13.2" x14ac:dyDescent="0.3">
      <c r="A37" s="3"/>
      <c r="B37" s="3"/>
      <c r="C37" s="3"/>
      <c r="D37" s="3"/>
      <c r="E37" s="3"/>
      <c r="F37" s="5"/>
      <c r="G37" s="3"/>
      <c r="H37" s="3"/>
      <c r="I37" s="3"/>
      <c r="J37" s="3"/>
      <c r="K37" s="3"/>
      <c r="L37" s="3"/>
      <c r="M37" s="3"/>
      <c r="N37" s="3"/>
      <c r="O37" s="3"/>
      <c r="P37" s="3"/>
      <c r="Q37" s="3" t="str">
        <f t="shared" ca="1" si="0"/>
        <v/>
      </c>
      <c r="R37" s="3"/>
      <c r="S37" s="3"/>
      <c r="T37" s="3"/>
      <c r="U37" s="3"/>
      <c r="V37" s="3"/>
      <c r="W37" s="3"/>
      <c r="X37" s="3"/>
      <c r="Y37" s="3"/>
      <c r="Z37" s="3"/>
      <c r="AA37" s="3"/>
      <c r="AB37" s="3"/>
      <c r="AC37" s="3"/>
      <c r="AD37" s="3"/>
    </row>
    <row r="38" spans="1:30" s="11" customFormat="1" ht="13.2" x14ac:dyDescent="0.3">
      <c r="A38" s="3"/>
      <c r="B38" s="3"/>
      <c r="C38" s="3"/>
      <c r="D38" s="3"/>
      <c r="E38" s="3"/>
      <c r="F38" s="5"/>
      <c r="G38" s="3"/>
      <c r="H38" s="3"/>
      <c r="I38" s="3"/>
      <c r="J38" s="3"/>
      <c r="K38" s="3"/>
      <c r="L38" s="3"/>
      <c r="M38" s="3"/>
      <c r="N38" s="3"/>
      <c r="O38" s="3"/>
      <c r="P38" s="3"/>
      <c r="Q38" s="3" t="str">
        <f t="shared" ca="1" si="0"/>
        <v/>
      </c>
      <c r="R38" s="3"/>
      <c r="S38" s="3"/>
      <c r="T38" s="3"/>
      <c r="U38" s="3"/>
      <c r="V38" s="3"/>
      <c r="W38" s="3"/>
      <c r="X38" s="3"/>
      <c r="Y38" s="3"/>
      <c r="Z38" s="3"/>
      <c r="AA38" s="3"/>
      <c r="AB38" s="3"/>
      <c r="AC38" s="3"/>
      <c r="AD38" s="3"/>
    </row>
    <row r="39" spans="1:30" s="11" customFormat="1" ht="13.2" x14ac:dyDescent="0.3">
      <c r="A39" s="3"/>
      <c r="B39" s="3"/>
      <c r="C39" s="3"/>
      <c r="D39" s="3"/>
      <c r="E39" s="3"/>
      <c r="F39" s="5"/>
      <c r="G39" s="3"/>
      <c r="H39" s="3"/>
      <c r="I39" s="3"/>
      <c r="J39" s="3"/>
      <c r="K39" s="3"/>
      <c r="L39" s="3"/>
      <c r="M39" s="3"/>
      <c r="N39" s="3"/>
      <c r="O39" s="3"/>
      <c r="P39" s="3"/>
      <c r="Q39" s="3" t="str">
        <f t="shared" ca="1" si="0"/>
        <v/>
      </c>
      <c r="R39" s="3"/>
      <c r="S39" s="3"/>
      <c r="T39" s="3"/>
      <c r="U39" s="3"/>
      <c r="V39" s="3"/>
      <c r="W39" s="3"/>
      <c r="X39" s="3"/>
      <c r="Y39" s="3"/>
      <c r="Z39" s="3"/>
      <c r="AA39" s="3"/>
      <c r="AB39" s="3"/>
      <c r="AC39" s="3"/>
      <c r="AD39" s="3"/>
    </row>
    <row r="40" spans="1:30" s="11" customFormat="1" ht="13.2" x14ac:dyDescent="0.3">
      <c r="A40" s="3"/>
      <c r="B40" s="3"/>
      <c r="C40" s="3"/>
      <c r="D40" s="3"/>
      <c r="E40" s="3"/>
      <c r="F40" s="5"/>
      <c r="G40" s="3"/>
      <c r="H40" s="3"/>
      <c r="I40" s="3"/>
      <c r="J40" s="3"/>
      <c r="K40" s="3"/>
      <c r="L40" s="3"/>
      <c r="M40" s="3"/>
      <c r="N40" s="3"/>
      <c r="O40" s="3"/>
      <c r="P40" s="3"/>
      <c r="Q40" s="3" t="str">
        <f t="shared" ref="Q40:Q71" ca="1" si="1">IF(AND(N40&lt;TODAY(),Q40&lt;&gt;"Cerrado"),"Vencido",Q40)</f>
        <v/>
      </c>
      <c r="R40" s="3"/>
      <c r="S40" s="3"/>
      <c r="T40" s="3"/>
      <c r="U40" s="3"/>
      <c r="V40" s="3"/>
      <c r="W40" s="3"/>
      <c r="X40" s="3"/>
      <c r="Y40" s="3"/>
      <c r="Z40" s="3"/>
      <c r="AA40" s="3"/>
      <c r="AB40" s="3"/>
      <c r="AC40" s="3"/>
      <c r="AD40" s="3"/>
    </row>
    <row r="41" spans="1:30" s="11" customFormat="1" ht="13.2" x14ac:dyDescent="0.3">
      <c r="A41" s="3"/>
      <c r="B41" s="3"/>
      <c r="C41" s="3"/>
      <c r="D41" s="3"/>
      <c r="E41" s="3"/>
      <c r="F41" s="5"/>
      <c r="G41" s="3"/>
      <c r="H41" s="3"/>
      <c r="I41" s="3"/>
      <c r="J41" s="3"/>
      <c r="K41" s="3"/>
      <c r="L41" s="3"/>
      <c r="M41" s="3"/>
      <c r="N41" s="3"/>
      <c r="O41" s="3"/>
      <c r="P41" s="3"/>
      <c r="Q41" s="3" t="str">
        <f t="shared" ca="1" si="1"/>
        <v/>
      </c>
      <c r="R41" s="3"/>
      <c r="S41" s="3"/>
      <c r="T41" s="3"/>
      <c r="U41" s="3"/>
      <c r="V41" s="3"/>
      <c r="W41" s="3"/>
      <c r="X41" s="3"/>
      <c r="Y41" s="3"/>
      <c r="Z41" s="3"/>
      <c r="AA41" s="3"/>
      <c r="AB41" s="3"/>
      <c r="AC41" s="3"/>
      <c r="AD41" s="3"/>
    </row>
    <row r="42" spans="1:30" s="11" customFormat="1" ht="13.2" x14ac:dyDescent="0.3">
      <c r="A42" s="3"/>
      <c r="B42" s="3"/>
      <c r="C42" s="3"/>
      <c r="D42" s="3"/>
      <c r="E42" s="3"/>
      <c r="F42" s="5"/>
      <c r="G42" s="3"/>
      <c r="H42" s="3"/>
      <c r="I42" s="3"/>
      <c r="J42" s="3"/>
      <c r="K42" s="3"/>
      <c r="L42" s="3"/>
      <c r="M42" s="3"/>
      <c r="N42" s="3"/>
      <c r="O42" s="3"/>
      <c r="P42" s="3"/>
      <c r="Q42" s="3" t="str">
        <f t="shared" ca="1" si="1"/>
        <v/>
      </c>
      <c r="R42" s="3"/>
      <c r="S42" s="3"/>
      <c r="T42" s="3"/>
      <c r="U42" s="3"/>
      <c r="V42" s="3"/>
      <c r="W42" s="3"/>
      <c r="X42" s="3"/>
      <c r="Y42" s="3"/>
      <c r="Z42" s="3"/>
      <c r="AA42" s="3"/>
      <c r="AB42" s="3"/>
      <c r="AC42" s="3"/>
      <c r="AD42" s="3"/>
    </row>
    <row r="43" spans="1:30" s="11" customFormat="1" ht="13.2" x14ac:dyDescent="0.3">
      <c r="A43" s="3"/>
      <c r="B43" s="3"/>
      <c r="C43" s="3"/>
      <c r="D43" s="3"/>
      <c r="E43" s="3"/>
      <c r="F43" s="5"/>
      <c r="G43" s="3"/>
      <c r="H43" s="3"/>
      <c r="I43" s="3"/>
      <c r="J43" s="3"/>
      <c r="K43" s="3"/>
      <c r="L43" s="3"/>
      <c r="M43" s="3"/>
      <c r="N43" s="3"/>
      <c r="O43" s="3"/>
      <c r="P43" s="3"/>
      <c r="Q43" s="3" t="str">
        <f t="shared" ca="1" si="1"/>
        <v/>
      </c>
      <c r="R43" s="3"/>
      <c r="S43" s="3"/>
      <c r="T43" s="3"/>
      <c r="U43" s="3"/>
      <c r="V43" s="3"/>
      <c r="W43" s="3"/>
      <c r="X43" s="3"/>
      <c r="Y43" s="3"/>
      <c r="Z43" s="3"/>
      <c r="AA43" s="3"/>
      <c r="AB43" s="3"/>
      <c r="AC43" s="3"/>
      <c r="AD43" s="3"/>
    </row>
    <row r="44" spans="1:30" s="11" customFormat="1" ht="13.2" x14ac:dyDescent="0.3">
      <c r="A44" s="3"/>
      <c r="B44" s="3"/>
      <c r="C44" s="3"/>
      <c r="D44" s="3"/>
      <c r="E44" s="3"/>
      <c r="F44" s="5"/>
      <c r="G44" s="3"/>
      <c r="H44" s="3"/>
      <c r="I44" s="3"/>
      <c r="J44" s="3"/>
      <c r="K44" s="3"/>
      <c r="L44" s="3"/>
      <c r="M44" s="3"/>
      <c r="N44" s="3"/>
      <c r="O44" s="3"/>
      <c r="P44" s="3"/>
      <c r="Q44" s="3" t="str">
        <f t="shared" ca="1" si="1"/>
        <v/>
      </c>
      <c r="R44" s="3"/>
      <c r="S44" s="3"/>
      <c r="T44" s="3"/>
      <c r="U44" s="3"/>
      <c r="V44" s="3"/>
      <c r="W44" s="3"/>
      <c r="X44" s="3"/>
      <c r="Y44" s="3"/>
      <c r="Z44" s="3"/>
      <c r="AA44" s="3"/>
      <c r="AB44" s="3"/>
      <c r="AC44" s="3"/>
      <c r="AD44" s="3"/>
    </row>
    <row r="45" spans="1:30" s="11" customFormat="1" ht="13.2" x14ac:dyDescent="0.3">
      <c r="A45" s="3"/>
      <c r="B45" s="3"/>
      <c r="C45" s="3"/>
      <c r="D45" s="3"/>
      <c r="E45" s="3"/>
      <c r="F45" s="5"/>
      <c r="G45" s="3"/>
      <c r="H45" s="3"/>
      <c r="I45" s="3"/>
      <c r="J45" s="3"/>
      <c r="K45" s="3"/>
      <c r="L45" s="3"/>
      <c r="M45" s="3"/>
      <c r="N45" s="3"/>
      <c r="O45" s="3"/>
      <c r="P45" s="3"/>
      <c r="Q45" s="3" t="str">
        <f t="shared" ca="1" si="1"/>
        <v/>
      </c>
      <c r="R45" s="3"/>
      <c r="S45" s="3"/>
      <c r="T45" s="3"/>
      <c r="U45" s="3"/>
      <c r="V45" s="3"/>
      <c r="W45" s="3"/>
      <c r="X45" s="3"/>
      <c r="Y45" s="3"/>
      <c r="Z45" s="3"/>
      <c r="AA45" s="3"/>
      <c r="AB45" s="3"/>
      <c r="AC45" s="3"/>
      <c r="AD45" s="3"/>
    </row>
    <row r="46" spans="1:30" x14ac:dyDescent="0.25">
      <c r="A46" s="8"/>
      <c r="B46" s="8"/>
      <c r="C46" s="8"/>
      <c r="D46" s="8"/>
      <c r="E46" s="8"/>
      <c r="F46" s="12"/>
      <c r="G46" s="8"/>
      <c r="H46" s="8"/>
      <c r="I46" s="8"/>
      <c r="J46" s="8"/>
      <c r="K46" s="8"/>
      <c r="L46" s="8"/>
      <c r="M46" s="8"/>
      <c r="N46" s="8"/>
      <c r="O46" s="8"/>
      <c r="P46" s="8"/>
      <c r="Q46" s="8" t="str">
        <f t="shared" ca="1" si="1"/>
        <v/>
      </c>
      <c r="R46" s="8"/>
      <c r="S46" s="8"/>
      <c r="T46" s="8"/>
      <c r="U46" s="8"/>
      <c r="V46" s="8"/>
      <c r="W46" s="8"/>
      <c r="X46" s="8"/>
      <c r="Y46" s="8"/>
      <c r="Z46" s="8"/>
      <c r="AA46" s="8"/>
      <c r="AB46" s="8"/>
      <c r="AC46" s="8"/>
      <c r="AD46" s="8"/>
    </row>
    <row r="47" spans="1:30" x14ac:dyDescent="0.25">
      <c r="A47" s="8"/>
      <c r="B47" s="8"/>
      <c r="C47" s="8"/>
      <c r="D47" s="8"/>
      <c r="E47" s="8"/>
      <c r="F47" s="12"/>
      <c r="G47" s="8"/>
      <c r="H47" s="8"/>
      <c r="I47" s="8"/>
      <c r="J47" s="8"/>
      <c r="K47" s="8"/>
      <c r="L47" s="8"/>
      <c r="M47" s="8"/>
      <c r="N47" s="8"/>
      <c r="O47" s="8"/>
      <c r="P47" s="8"/>
      <c r="Q47" s="8" t="str">
        <f t="shared" ca="1" si="1"/>
        <v/>
      </c>
      <c r="R47" s="8"/>
      <c r="S47" s="8"/>
      <c r="T47" s="8"/>
      <c r="U47" s="8"/>
      <c r="V47" s="8"/>
      <c r="W47" s="8"/>
      <c r="X47" s="8"/>
      <c r="Y47" s="8"/>
      <c r="Z47" s="8"/>
      <c r="AA47" s="8"/>
      <c r="AB47" s="8"/>
      <c r="AC47" s="8"/>
      <c r="AD47" s="8"/>
    </row>
    <row r="48" spans="1:30" x14ac:dyDescent="0.25">
      <c r="A48" s="8"/>
      <c r="B48" s="8"/>
      <c r="C48" s="8"/>
      <c r="D48" s="8"/>
      <c r="E48" s="8"/>
      <c r="F48" s="12"/>
      <c r="G48" s="8"/>
      <c r="H48" s="8"/>
      <c r="I48" s="8"/>
      <c r="J48" s="8"/>
      <c r="K48" s="8"/>
      <c r="L48" s="8"/>
      <c r="M48" s="8"/>
      <c r="N48" s="8"/>
      <c r="O48" s="8"/>
      <c r="P48" s="8"/>
      <c r="Q48" s="8" t="str">
        <f t="shared" ca="1" si="1"/>
        <v/>
      </c>
      <c r="R48" s="8"/>
      <c r="S48" s="8"/>
      <c r="T48" s="8"/>
      <c r="U48" s="8"/>
      <c r="V48" s="8"/>
      <c r="W48" s="8"/>
      <c r="X48" s="8"/>
      <c r="Y48" s="8"/>
      <c r="Z48" s="8"/>
      <c r="AA48" s="8"/>
      <c r="AB48" s="8"/>
      <c r="AC48" s="8"/>
      <c r="AD48" s="8"/>
    </row>
    <row r="49" spans="1:30" x14ac:dyDescent="0.25">
      <c r="A49" s="8"/>
      <c r="B49" s="8"/>
      <c r="C49" s="8"/>
      <c r="D49" s="8"/>
      <c r="E49" s="8"/>
      <c r="F49" s="12"/>
      <c r="G49" s="8"/>
      <c r="H49" s="8"/>
      <c r="I49" s="8"/>
      <c r="J49" s="8"/>
      <c r="K49" s="8"/>
      <c r="L49" s="8"/>
      <c r="M49" s="8"/>
      <c r="N49" s="8"/>
      <c r="O49" s="8"/>
      <c r="P49" s="8"/>
      <c r="Q49" s="8" t="str">
        <f t="shared" ca="1" si="1"/>
        <v/>
      </c>
      <c r="R49" s="8"/>
      <c r="S49" s="8"/>
      <c r="T49" s="8"/>
      <c r="U49" s="8"/>
      <c r="V49" s="8"/>
      <c r="W49" s="8"/>
      <c r="X49" s="8"/>
      <c r="Y49" s="8"/>
      <c r="Z49" s="8"/>
      <c r="AA49" s="8"/>
      <c r="AB49" s="8"/>
      <c r="AC49" s="8"/>
      <c r="AD49" s="8"/>
    </row>
    <row r="50" spans="1:30" x14ac:dyDescent="0.25">
      <c r="A50" s="8"/>
      <c r="B50" s="8"/>
      <c r="C50" s="8"/>
      <c r="D50" s="8"/>
      <c r="E50" s="8"/>
      <c r="F50" s="12"/>
      <c r="G50" s="8"/>
      <c r="H50" s="8"/>
      <c r="I50" s="8"/>
      <c r="J50" s="8"/>
      <c r="K50" s="8"/>
      <c r="L50" s="8"/>
      <c r="M50" s="8"/>
      <c r="N50" s="8"/>
      <c r="O50" s="8"/>
      <c r="P50" s="8"/>
      <c r="Q50" s="8" t="str">
        <f t="shared" ca="1" si="1"/>
        <v/>
      </c>
      <c r="R50" s="8"/>
      <c r="S50" s="8"/>
      <c r="T50" s="8"/>
      <c r="U50" s="8"/>
      <c r="V50" s="8"/>
      <c r="W50" s="8"/>
      <c r="X50" s="8"/>
      <c r="Y50" s="8"/>
      <c r="Z50" s="8"/>
      <c r="AA50" s="8"/>
      <c r="AB50" s="8"/>
      <c r="AC50" s="8"/>
      <c r="AD50" s="8"/>
    </row>
    <row r="51" spans="1:30" x14ac:dyDescent="0.25">
      <c r="A51" s="8"/>
      <c r="B51" s="8"/>
      <c r="C51" s="8"/>
      <c r="D51" s="8"/>
      <c r="E51" s="8"/>
      <c r="F51" s="12"/>
      <c r="G51" s="8"/>
      <c r="H51" s="8"/>
      <c r="I51" s="8"/>
      <c r="J51" s="8"/>
      <c r="K51" s="8"/>
      <c r="L51" s="8"/>
      <c r="M51" s="8"/>
      <c r="N51" s="8"/>
      <c r="O51" s="8"/>
      <c r="P51" s="8"/>
      <c r="Q51" s="8" t="str">
        <f t="shared" ca="1" si="1"/>
        <v/>
      </c>
      <c r="R51" s="8"/>
      <c r="S51" s="8"/>
      <c r="T51" s="8"/>
      <c r="U51" s="8"/>
      <c r="V51" s="8"/>
      <c r="W51" s="8"/>
      <c r="X51" s="8"/>
      <c r="Y51" s="8"/>
      <c r="Z51" s="8"/>
      <c r="AA51" s="8"/>
      <c r="AB51" s="8"/>
      <c r="AC51" s="8"/>
      <c r="AD51" s="8"/>
    </row>
    <row r="52" spans="1:30" x14ac:dyDescent="0.25">
      <c r="A52" s="8"/>
      <c r="B52" s="8"/>
      <c r="C52" s="8"/>
      <c r="D52" s="8"/>
      <c r="E52" s="8"/>
      <c r="F52" s="12"/>
      <c r="G52" s="8"/>
      <c r="H52" s="8"/>
      <c r="I52" s="8"/>
      <c r="J52" s="8"/>
      <c r="K52" s="8"/>
      <c r="L52" s="8"/>
      <c r="M52" s="8"/>
      <c r="N52" s="8"/>
      <c r="O52" s="8"/>
      <c r="P52" s="8"/>
      <c r="Q52" s="8" t="str">
        <f t="shared" ca="1" si="1"/>
        <v/>
      </c>
      <c r="R52" s="8"/>
      <c r="S52" s="8"/>
      <c r="T52" s="8"/>
      <c r="U52" s="8"/>
      <c r="V52" s="8"/>
      <c r="W52" s="8"/>
      <c r="X52" s="8"/>
      <c r="Y52" s="8"/>
      <c r="Z52" s="8"/>
      <c r="AA52" s="8"/>
      <c r="AB52" s="8"/>
      <c r="AC52" s="8"/>
      <c r="AD52" s="8"/>
    </row>
    <row r="53" spans="1:30" x14ac:dyDescent="0.25">
      <c r="A53" s="8"/>
      <c r="B53" s="8"/>
      <c r="C53" s="8"/>
      <c r="D53" s="8"/>
      <c r="E53" s="8"/>
      <c r="F53" s="12"/>
      <c r="G53" s="8"/>
      <c r="H53" s="8"/>
      <c r="I53" s="8"/>
      <c r="J53" s="8"/>
      <c r="K53" s="8"/>
      <c r="L53" s="8"/>
      <c r="M53" s="8"/>
      <c r="N53" s="8"/>
      <c r="O53" s="8"/>
      <c r="P53" s="8"/>
      <c r="Q53" s="8" t="str">
        <f t="shared" ca="1" si="1"/>
        <v/>
      </c>
      <c r="R53" s="8"/>
      <c r="S53" s="8"/>
      <c r="T53" s="8"/>
      <c r="U53" s="8"/>
      <c r="V53" s="8"/>
      <c r="W53" s="8"/>
      <c r="X53" s="8"/>
      <c r="Y53" s="8"/>
      <c r="Z53" s="8"/>
      <c r="AA53" s="8"/>
      <c r="AB53" s="8"/>
      <c r="AC53" s="8"/>
      <c r="AD53" s="8"/>
    </row>
    <row r="54" spans="1:30" x14ac:dyDescent="0.25">
      <c r="A54" s="8"/>
      <c r="B54" s="8"/>
      <c r="C54" s="8"/>
      <c r="D54" s="8"/>
      <c r="E54" s="8"/>
      <c r="F54" s="12"/>
      <c r="G54" s="8"/>
      <c r="H54" s="8"/>
      <c r="I54" s="8"/>
      <c r="J54" s="8"/>
      <c r="K54" s="8"/>
      <c r="L54" s="8"/>
      <c r="M54" s="8"/>
      <c r="N54" s="8"/>
      <c r="O54" s="8"/>
      <c r="P54" s="8"/>
      <c r="Q54" s="8" t="str">
        <f t="shared" ca="1" si="1"/>
        <v/>
      </c>
      <c r="R54" s="8"/>
      <c r="S54" s="8"/>
      <c r="T54" s="8"/>
      <c r="U54" s="8"/>
      <c r="V54" s="8"/>
      <c r="W54" s="8"/>
      <c r="X54" s="8"/>
      <c r="Y54" s="8"/>
      <c r="Z54" s="8"/>
      <c r="AA54" s="8"/>
      <c r="AB54" s="8"/>
      <c r="AC54" s="8"/>
      <c r="AD54" s="8"/>
    </row>
    <row r="55" spans="1:30" x14ac:dyDescent="0.25">
      <c r="A55" s="8"/>
      <c r="B55" s="8"/>
      <c r="C55" s="8"/>
      <c r="D55" s="8"/>
      <c r="E55" s="8"/>
      <c r="F55" s="12"/>
      <c r="G55" s="8"/>
      <c r="H55" s="8"/>
      <c r="I55" s="8"/>
      <c r="J55" s="8"/>
      <c r="K55" s="8"/>
      <c r="L55" s="8"/>
      <c r="M55" s="8"/>
      <c r="N55" s="8"/>
      <c r="O55" s="8"/>
      <c r="P55" s="8"/>
      <c r="Q55" s="8" t="str">
        <f t="shared" ca="1" si="1"/>
        <v/>
      </c>
      <c r="R55" s="8"/>
      <c r="S55" s="8"/>
      <c r="T55" s="8"/>
      <c r="U55" s="8"/>
      <c r="V55" s="8"/>
      <c r="W55" s="8"/>
      <c r="X55" s="8"/>
      <c r="Y55" s="8"/>
      <c r="Z55" s="8"/>
      <c r="AA55" s="8"/>
      <c r="AB55" s="8"/>
      <c r="AC55" s="8"/>
      <c r="AD55" s="8"/>
    </row>
    <row r="56" spans="1:30" x14ac:dyDescent="0.25">
      <c r="A56" s="8"/>
      <c r="B56" s="8"/>
      <c r="C56" s="8"/>
      <c r="D56" s="8"/>
      <c r="E56" s="8"/>
      <c r="F56" s="12"/>
      <c r="G56" s="8"/>
      <c r="H56" s="8"/>
      <c r="I56" s="8"/>
      <c r="J56" s="8"/>
      <c r="K56" s="8"/>
      <c r="L56" s="8"/>
      <c r="M56" s="8"/>
      <c r="N56" s="8"/>
      <c r="O56" s="8"/>
      <c r="P56" s="8"/>
      <c r="Q56" s="8" t="str">
        <f t="shared" ca="1" si="1"/>
        <v/>
      </c>
      <c r="R56" s="8"/>
      <c r="S56" s="8"/>
      <c r="T56" s="8"/>
      <c r="U56" s="8"/>
      <c r="V56" s="8"/>
      <c r="W56" s="8"/>
      <c r="X56" s="8"/>
      <c r="Y56" s="8"/>
      <c r="Z56" s="8"/>
      <c r="AA56" s="8"/>
      <c r="AB56" s="8"/>
      <c r="AC56" s="8"/>
      <c r="AD56" s="8"/>
    </row>
    <row r="57" spans="1:30" x14ac:dyDescent="0.25">
      <c r="A57" s="8"/>
      <c r="B57" s="8"/>
      <c r="C57" s="8"/>
      <c r="D57" s="8"/>
      <c r="E57" s="8"/>
      <c r="F57" s="12"/>
      <c r="G57" s="8"/>
      <c r="H57" s="8"/>
      <c r="I57" s="8"/>
      <c r="J57" s="8"/>
      <c r="K57" s="8"/>
      <c r="L57" s="8"/>
      <c r="M57" s="8"/>
      <c r="N57" s="8"/>
      <c r="O57" s="8"/>
      <c r="P57" s="8"/>
      <c r="Q57" s="8" t="str">
        <f t="shared" ca="1" si="1"/>
        <v/>
      </c>
      <c r="R57" s="8"/>
      <c r="S57" s="8"/>
      <c r="T57" s="8"/>
      <c r="U57" s="8"/>
      <c r="V57" s="8"/>
      <c r="W57" s="8"/>
      <c r="X57" s="8"/>
      <c r="Y57" s="8"/>
      <c r="Z57" s="8"/>
      <c r="AA57" s="8"/>
      <c r="AB57" s="8"/>
      <c r="AC57" s="8"/>
      <c r="AD57" s="8"/>
    </row>
    <row r="58" spans="1:30" x14ac:dyDescent="0.25">
      <c r="A58" s="8"/>
      <c r="B58" s="8"/>
      <c r="C58" s="8"/>
      <c r="D58" s="8"/>
      <c r="E58" s="8"/>
      <c r="F58" s="12"/>
      <c r="G58" s="8"/>
      <c r="H58" s="8"/>
      <c r="I58" s="8"/>
      <c r="J58" s="8"/>
      <c r="K58" s="8"/>
      <c r="L58" s="8"/>
      <c r="M58" s="8"/>
      <c r="N58" s="8"/>
      <c r="O58" s="8"/>
      <c r="P58" s="8"/>
      <c r="Q58" s="8" t="str">
        <f t="shared" ca="1" si="1"/>
        <v/>
      </c>
      <c r="R58" s="8"/>
      <c r="S58" s="8"/>
      <c r="T58" s="8"/>
      <c r="U58" s="8"/>
      <c r="V58" s="8"/>
      <c r="W58" s="8"/>
      <c r="X58" s="8"/>
      <c r="Y58" s="8"/>
      <c r="Z58" s="8"/>
      <c r="AA58" s="8"/>
      <c r="AB58" s="8"/>
      <c r="AC58" s="8"/>
      <c r="AD58" s="8"/>
    </row>
    <row r="59" spans="1:30" x14ac:dyDescent="0.25">
      <c r="Q59" s="9" t="str">
        <f t="shared" ca="1" si="1"/>
        <v/>
      </c>
    </row>
    <row r="60" spans="1:30" x14ac:dyDescent="0.25">
      <c r="Q60" s="9" t="str">
        <f t="shared" ca="1" si="1"/>
        <v/>
      </c>
    </row>
    <row r="61" spans="1:30" x14ac:dyDescent="0.25">
      <c r="Q61" s="9" t="str">
        <f t="shared" ca="1" si="1"/>
        <v/>
      </c>
    </row>
    <row r="62" spans="1:30" x14ac:dyDescent="0.25">
      <c r="Q62" s="9" t="str">
        <f t="shared" ca="1" si="1"/>
        <v/>
      </c>
    </row>
    <row r="63" spans="1:30" x14ac:dyDescent="0.25">
      <c r="Q63" s="9" t="str">
        <f t="shared" ca="1" si="1"/>
        <v/>
      </c>
    </row>
    <row r="64" spans="1:30" x14ac:dyDescent="0.25">
      <c r="Q64" s="9" t="str">
        <f t="shared" ca="1" si="1"/>
        <v/>
      </c>
    </row>
    <row r="65" spans="17:17" x14ac:dyDescent="0.25">
      <c r="Q65" s="9" t="str">
        <f t="shared" ca="1" si="1"/>
        <v/>
      </c>
    </row>
    <row r="66" spans="17:17" x14ac:dyDescent="0.25">
      <c r="Q66" s="9" t="str">
        <f t="shared" ca="1" si="1"/>
        <v/>
      </c>
    </row>
    <row r="67" spans="17:17" x14ac:dyDescent="0.25">
      <c r="Q67" s="9" t="str">
        <f t="shared" ca="1" si="1"/>
        <v/>
      </c>
    </row>
    <row r="68" spans="17:17" x14ac:dyDescent="0.25">
      <c r="Q68" s="9" t="str">
        <f t="shared" ca="1" si="1"/>
        <v/>
      </c>
    </row>
    <row r="69" spans="17:17" x14ac:dyDescent="0.25">
      <c r="Q69" s="9" t="str">
        <f t="shared" ca="1" si="1"/>
        <v/>
      </c>
    </row>
    <row r="70" spans="17:17" x14ac:dyDescent="0.25">
      <c r="Q70" s="9" t="str">
        <f t="shared" ca="1" si="1"/>
        <v/>
      </c>
    </row>
    <row r="71" spans="17:17" x14ac:dyDescent="0.25">
      <c r="Q71" s="9" t="str">
        <f t="shared" ca="1" si="1"/>
        <v/>
      </c>
    </row>
    <row r="72" spans="17:17" x14ac:dyDescent="0.25">
      <c r="Q72" s="9" t="str">
        <f t="shared" ref="Q72:Q103" ca="1" si="2">IF(AND(N72&lt;TODAY(),Q72&lt;&gt;"Cerrado"),"Vencido",Q72)</f>
        <v/>
      </c>
    </row>
    <row r="73" spans="17:17" x14ac:dyDescent="0.25">
      <c r="Q73" s="9" t="str">
        <f t="shared" ca="1" si="2"/>
        <v/>
      </c>
    </row>
    <row r="74" spans="17:17" x14ac:dyDescent="0.25">
      <c r="Q74" s="9" t="str">
        <f t="shared" ca="1" si="2"/>
        <v/>
      </c>
    </row>
    <row r="75" spans="17:17" x14ac:dyDescent="0.25">
      <c r="Q75" s="9" t="str">
        <f t="shared" ca="1" si="2"/>
        <v/>
      </c>
    </row>
    <row r="76" spans="17:17" x14ac:dyDescent="0.25">
      <c r="Q76" s="9" t="str">
        <f t="shared" ca="1" si="2"/>
        <v/>
      </c>
    </row>
    <row r="77" spans="17:17" x14ac:dyDescent="0.25">
      <c r="Q77" s="9" t="str">
        <f t="shared" ca="1" si="2"/>
        <v/>
      </c>
    </row>
    <row r="78" spans="17:17" x14ac:dyDescent="0.25">
      <c r="Q78" s="9" t="str">
        <f t="shared" ca="1" si="2"/>
        <v/>
      </c>
    </row>
    <row r="79" spans="17:17" x14ac:dyDescent="0.25">
      <c r="Q79" s="9" t="str">
        <f t="shared" ca="1" si="2"/>
        <v/>
      </c>
    </row>
    <row r="80" spans="17:17" x14ac:dyDescent="0.25">
      <c r="Q80" s="9" t="str">
        <f t="shared" ca="1" si="2"/>
        <v/>
      </c>
    </row>
    <row r="81" spans="17:17" x14ac:dyDescent="0.25">
      <c r="Q81" s="9" t="str">
        <f t="shared" ca="1" si="2"/>
        <v/>
      </c>
    </row>
    <row r="82" spans="17:17" x14ac:dyDescent="0.25">
      <c r="Q82" s="9" t="str">
        <f t="shared" ca="1" si="2"/>
        <v/>
      </c>
    </row>
    <row r="83" spans="17:17" x14ac:dyDescent="0.25">
      <c r="Q83" s="9" t="str">
        <f t="shared" ca="1" si="2"/>
        <v/>
      </c>
    </row>
    <row r="84" spans="17:17" x14ac:dyDescent="0.25">
      <c r="Q84" s="9" t="str">
        <f t="shared" ca="1" si="2"/>
        <v/>
      </c>
    </row>
    <row r="85" spans="17:17" x14ac:dyDescent="0.25">
      <c r="Q85" s="9" t="str">
        <f t="shared" ca="1" si="2"/>
        <v/>
      </c>
    </row>
    <row r="86" spans="17:17" x14ac:dyDescent="0.25">
      <c r="Q86" s="9" t="str">
        <f t="shared" ca="1" si="2"/>
        <v/>
      </c>
    </row>
    <row r="87" spans="17:17" x14ac:dyDescent="0.25">
      <c r="Q87" s="9" t="str">
        <f t="shared" ca="1" si="2"/>
        <v/>
      </c>
    </row>
    <row r="88" spans="17:17" x14ac:dyDescent="0.25">
      <c r="Q88" s="9" t="str">
        <f t="shared" ca="1" si="2"/>
        <v/>
      </c>
    </row>
    <row r="89" spans="17:17" x14ac:dyDescent="0.25">
      <c r="Q89" s="9" t="str">
        <f t="shared" ca="1" si="2"/>
        <v/>
      </c>
    </row>
    <row r="90" spans="17:17" x14ac:dyDescent="0.25">
      <c r="Q90" s="9" t="str">
        <f t="shared" ca="1" si="2"/>
        <v/>
      </c>
    </row>
    <row r="91" spans="17:17" x14ac:dyDescent="0.25">
      <c r="Q91" s="9" t="str">
        <f t="shared" ca="1" si="2"/>
        <v/>
      </c>
    </row>
    <row r="92" spans="17:17" x14ac:dyDescent="0.25">
      <c r="Q92" s="9" t="str">
        <f t="shared" ca="1" si="2"/>
        <v/>
      </c>
    </row>
    <row r="93" spans="17:17" x14ac:dyDescent="0.25">
      <c r="Q93" s="9" t="str">
        <f t="shared" ca="1" si="2"/>
        <v/>
      </c>
    </row>
    <row r="94" spans="17:17" x14ac:dyDescent="0.25">
      <c r="Q94" s="9" t="str">
        <f t="shared" ca="1" si="2"/>
        <v/>
      </c>
    </row>
    <row r="95" spans="17:17" x14ac:dyDescent="0.25">
      <c r="Q95" s="9" t="str">
        <f t="shared" ca="1" si="2"/>
        <v/>
      </c>
    </row>
    <row r="96" spans="17:17" x14ac:dyDescent="0.25">
      <c r="Q96" s="9" t="str">
        <f t="shared" ca="1" si="2"/>
        <v/>
      </c>
    </row>
    <row r="97" spans="17:17" x14ac:dyDescent="0.25">
      <c r="Q97" s="9" t="str">
        <f t="shared" ca="1" si="2"/>
        <v/>
      </c>
    </row>
    <row r="98" spans="17:17" x14ac:dyDescent="0.25">
      <c r="Q98" s="9" t="str">
        <f t="shared" ca="1" si="2"/>
        <v/>
      </c>
    </row>
    <row r="99" spans="17:17" x14ac:dyDescent="0.25">
      <c r="Q99" s="9" t="str">
        <f t="shared" ca="1" si="2"/>
        <v/>
      </c>
    </row>
    <row r="100" spans="17:17" x14ac:dyDescent="0.25">
      <c r="Q100" s="9" t="str">
        <f t="shared" ca="1" si="2"/>
        <v/>
      </c>
    </row>
    <row r="101" spans="17:17" x14ac:dyDescent="0.25">
      <c r="Q101" s="9" t="str">
        <f t="shared" ca="1" si="2"/>
        <v/>
      </c>
    </row>
    <row r="102" spans="17:17" x14ac:dyDescent="0.25">
      <c r="Q102" s="9" t="str">
        <f t="shared" ca="1" si="2"/>
        <v/>
      </c>
    </row>
    <row r="103" spans="17:17" x14ac:dyDescent="0.25">
      <c r="Q103" s="9" t="str">
        <f t="shared" ca="1" si="2"/>
        <v/>
      </c>
    </row>
    <row r="104" spans="17:17" x14ac:dyDescent="0.25">
      <c r="Q104" s="9" t="str">
        <f t="shared" ref="Q104:Q135" ca="1" si="3">IF(AND(N104&lt;TODAY(),Q104&lt;&gt;"Cerrado"),"Vencido",Q104)</f>
        <v/>
      </c>
    </row>
    <row r="105" spans="17:17" x14ac:dyDescent="0.25">
      <c r="Q105" s="9" t="str">
        <f t="shared" ca="1" si="3"/>
        <v/>
      </c>
    </row>
    <row r="106" spans="17:17" x14ac:dyDescent="0.25">
      <c r="Q106" s="9" t="str">
        <f t="shared" ca="1" si="3"/>
        <v/>
      </c>
    </row>
    <row r="107" spans="17:17" x14ac:dyDescent="0.25">
      <c r="Q107" s="9" t="str">
        <f t="shared" ca="1" si="3"/>
        <v/>
      </c>
    </row>
    <row r="108" spans="17:17" x14ac:dyDescent="0.25">
      <c r="Q108" s="9" t="str">
        <f t="shared" ca="1" si="3"/>
        <v/>
      </c>
    </row>
    <row r="109" spans="17:17" x14ac:dyDescent="0.25">
      <c r="Q109" s="9" t="str">
        <f t="shared" ca="1" si="3"/>
        <v/>
      </c>
    </row>
    <row r="110" spans="17:17" x14ac:dyDescent="0.25">
      <c r="Q110" s="9" t="str">
        <f t="shared" ca="1" si="3"/>
        <v/>
      </c>
    </row>
    <row r="111" spans="17:17" x14ac:dyDescent="0.25">
      <c r="Q111" s="9" t="str">
        <f t="shared" ca="1" si="3"/>
        <v/>
      </c>
    </row>
    <row r="112" spans="17:17" x14ac:dyDescent="0.25">
      <c r="Q112" s="9" t="str">
        <f t="shared" ca="1" si="3"/>
        <v/>
      </c>
    </row>
    <row r="113" spans="17:17" x14ac:dyDescent="0.25">
      <c r="Q113" s="9" t="str">
        <f t="shared" ca="1" si="3"/>
        <v/>
      </c>
    </row>
    <row r="114" spans="17:17" x14ac:dyDescent="0.25">
      <c r="Q114" s="9" t="str">
        <f t="shared" ca="1" si="3"/>
        <v/>
      </c>
    </row>
    <row r="115" spans="17:17" x14ac:dyDescent="0.25">
      <c r="Q115" s="9" t="str">
        <f t="shared" ca="1" si="3"/>
        <v/>
      </c>
    </row>
    <row r="116" spans="17:17" x14ac:dyDescent="0.25">
      <c r="Q116" s="9" t="str">
        <f t="shared" ca="1" si="3"/>
        <v/>
      </c>
    </row>
    <row r="117" spans="17:17" x14ac:dyDescent="0.25">
      <c r="Q117" s="9" t="str">
        <f t="shared" ca="1" si="3"/>
        <v/>
      </c>
    </row>
    <row r="118" spans="17:17" x14ac:dyDescent="0.25">
      <c r="Q118" s="9" t="str">
        <f t="shared" ca="1" si="3"/>
        <v/>
      </c>
    </row>
    <row r="119" spans="17:17" x14ac:dyDescent="0.25">
      <c r="Q119" s="9" t="str">
        <f t="shared" ca="1" si="3"/>
        <v/>
      </c>
    </row>
    <row r="120" spans="17:17" x14ac:dyDescent="0.25">
      <c r="Q120" s="9" t="str">
        <f t="shared" ca="1" si="3"/>
        <v/>
      </c>
    </row>
    <row r="121" spans="17:17" x14ac:dyDescent="0.25">
      <c r="Q121" s="9" t="str">
        <f t="shared" ca="1" si="3"/>
        <v/>
      </c>
    </row>
    <row r="122" spans="17:17" x14ac:dyDescent="0.25">
      <c r="Q122" s="9" t="str">
        <f t="shared" ca="1" si="3"/>
        <v/>
      </c>
    </row>
    <row r="123" spans="17:17" x14ac:dyDescent="0.25">
      <c r="Q123" s="9" t="str">
        <f t="shared" ca="1" si="3"/>
        <v/>
      </c>
    </row>
    <row r="124" spans="17:17" x14ac:dyDescent="0.25">
      <c r="Q124" s="9" t="str">
        <f t="shared" ca="1" si="3"/>
        <v/>
      </c>
    </row>
    <row r="125" spans="17:17" x14ac:dyDescent="0.25">
      <c r="Q125" s="9" t="str">
        <f t="shared" ca="1" si="3"/>
        <v/>
      </c>
    </row>
    <row r="126" spans="17:17" x14ac:dyDescent="0.25">
      <c r="Q126" s="9" t="str">
        <f t="shared" ca="1" si="3"/>
        <v/>
      </c>
    </row>
    <row r="127" spans="17:17" x14ac:dyDescent="0.25">
      <c r="Q127" s="9" t="str">
        <f t="shared" ca="1" si="3"/>
        <v/>
      </c>
    </row>
    <row r="128" spans="17:17" x14ac:dyDescent="0.25">
      <c r="Q128" s="9" t="str">
        <f t="shared" ca="1" si="3"/>
        <v/>
      </c>
    </row>
    <row r="129" spans="17:17" x14ac:dyDescent="0.25">
      <c r="Q129" s="9" t="str">
        <f t="shared" ca="1" si="3"/>
        <v/>
      </c>
    </row>
    <row r="130" spans="17:17" x14ac:dyDescent="0.25">
      <c r="Q130" s="9" t="str">
        <f t="shared" ca="1" si="3"/>
        <v/>
      </c>
    </row>
    <row r="131" spans="17:17" x14ac:dyDescent="0.25">
      <c r="Q131" s="9" t="str">
        <f t="shared" ca="1" si="3"/>
        <v/>
      </c>
    </row>
    <row r="132" spans="17:17" x14ac:dyDescent="0.25">
      <c r="Q132" s="9" t="str">
        <f t="shared" ca="1" si="3"/>
        <v/>
      </c>
    </row>
    <row r="133" spans="17:17" x14ac:dyDescent="0.25">
      <c r="Q133" s="9" t="str">
        <f t="shared" ca="1" si="3"/>
        <v/>
      </c>
    </row>
    <row r="134" spans="17:17" x14ac:dyDescent="0.25">
      <c r="Q134" s="9" t="str">
        <f t="shared" ca="1" si="3"/>
        <v/>
      </c>
    </row>
    <row r="135" spans="17:17" x14ac:dyDescent="0.25">
      <c r="Q135" s="9" t="str">
        <f t="shared" ca="1" si="3"/>
        <v/>
      </c>
    </row>
    <row r="136" spans="17:17" x14ac:dyDescent="0.25">
      <c r="Q136" s="9" t="str">
        <f t="shared" ref="Q136:Q167" ca="1" si="4">IF(AND(N136&lt;TODAY(),Q136&lt;&gt;"Cerrado"),"Vencido",Q136)</f>
        <v/>
      </c>
    </row>
    <row r="137" spans="17:17" x14ac:dyDescent="0.25">
      <c r="Q137" s="9" t="str">
        <f t="shared" ca="1" si="4"/>
        <v/>
      </c>
    </row>
    <row r="138" spans="17:17" x14ac:dyDescent="0.25">
      <c r="Q138" s="9" t="str">
        <f t="shared" ca="1" si="4"/>
        <v/>
      </c>
    </row>
    <row r="139" spans="17:17" x14ac:dyDescent="0.25">
      <c r="Q139" s="9" t="str">
        <f t="shared" ca="1" si="4"/>
        <v/>
      </c>
    </row>
    <row r="140" spans="17:17" x14ac:dyDescent="0.25">
      <c r="Q140" s="9" t="str">
        <f t="shared" ca="1" si="4"/>
        <v/>
      </c>
    </row>
    <row r="141" spans="17:17" x14ac:dyDescent="0.25">
      <c r="Q141" s="9" t="str">
        <f t="shared" ca="1" si="4"/>
        <v/>
      </c>
    </row>
    <row r="142" spans="17:17" x14ac:dyDescent="0.25">
      <c r="Q142" s="9" t="str">
        <f t="shared" ca="1" si="4"/>
        <v/>
      </c>
    </row>
    <row r="143" spans="17:17" x14ac:dyDescent="0.25">
      <c r="Q143" s="9" t="str">
        <f t="shared" ca="1" si="4"/>
        <v/>
      </c>
    </row>
    <row r="144" spans="17:17" x14ac:dyDescent="0.25">
      <c r="Q144" s="9" t="str">
        <f t="shared" ca="1" si="4"/>
        <v/>
      </c>
    </row>
    <row r="145" spans="17:17" x14ac:dyDescent="0.25">
      <c r="Q145" s="9" t="str">
        <f t="shared" ca="1" si="4"/>
        <v/>
      </c>
    </row>
    <row r="146" spans="17:17" x14ac:dyDescent="0.25">
      <c r="Q146" s="9" t="str">
        <f t="shared" ca="1" si="4"/>
        <v/>
      </c>
    </row>
    <row r="147" spans="17:17" x14ac:dyDescent="0.25">
      <c r="Q147" s="9" t="str">
        <f t="shared" ca="1" si="4"/>
        <v/>
      </c>
    </row>
    <row r="148" spans="17:17" x14ac:dyDescent="0.25">
      <c r="Q148" s="9" t="str">
        <f t="shared" ca="1" si="4"/>
        <v/>
      </c>
    </row>
    <row r="149" spans="17:17" x14ac:dyDescent="0.25">
      <c r="Q149" s="9" t="str">
        <f t="shared" ca="1" si="4"/>
        <v/>
      </c>
    </row>
    <row r="150" spans="17:17" x14ac:dyDescent="0.25">
      <c r="Q150" s="9" t="str">
        <f t="shared" ca="1" si="4"/>
        <v/>
      </c>
    </row>
    <row r="151" spans="17:17" x14ac:dyDescent="0.25">
      <c r="Q151" s="9" t="str">
        <f t="shared" ca="1" si="4"/>
        <v/>
      </c>
    </row>
    <row r="152" spans="17:17" x14ac:dyDescent="0.25">
      <c r="Q152" s="9" t="str">
        <f t="shared" ca="1" si="4"/>
        <v/>
      </c>
    </row>
    <row r="153" spans="17:17" x14ac:dyDescent="0.25">
      <c r="Q153" s="9" t="str">
        <f t="shared" ca="1" si="4"/>
        <v/>
      </c>
    </row>
    <row r="154" spans="17:17" x14ac:dyDescent="0.25">
      <c r="Q154" s="9" t="str">
        <f t="shared" ca="1" si="4"/>
        <v/>
      </c>
    </row>
    <row r="155" spans="17:17" x14ac:dyDescent="0.25">
      <c r="Q155" s="9" t="str">
        <f t="shared" ca="1" si="4"/>
        <v/>
      </c>
    </row>
    <row r="156" spans="17:17" x14ac:dyDescent="0.25">
      <c r="Q156" s="9" t="str">
        <f t="shared" ca="1" si="4"/>
        <v/>
      </c>
    </row>
    <row r="157" spans="17:17" x14ac:dyDescent="0.25">
      <c r="Q157" s="9" t="str">
        <f t="shared" ca="1" si="4"/>
        <v/>
      </c>
    </row>
    <row r="158" spans="17:17" x14ac:dyDescent="0.25">
      <c r="Q158" s="9" t="str">
        <f t="shared" ca="1" si="4"/>
        <v/>
      </c>
    </row>
    <row r="159" spans="17:17" x14ac:dyDescent="0.25">
      <c r="Q159" s="9" t="str">
        <f t="shared" ca="1" si="4"/>
        <v/>
      </c>
    </row>
    <row r="160" spans="17:17" x14ac:dyDescent="0.25">
      <c r="Q160" s="9" t="str">
        <f t="shared" ca="1" si="4"/>
        <v/>
      </c>
    </row>
    <row r="161" spans="17:17" x14ac:dyDescent="0.25">
      <c r="Q161" s="9" t="str">
        <f t="shared" ca="1" si="4"/>
        <v/>
      </c>
    </row>
    <row r="162" spans="17:17" x14ac:dyDescent="0.25">
      <c r="Q162" s="9" t="str">
        <f t="shared" ca="1" si="4"/>
        <v/>
      </c>
    </row>
    <row r="163" spans="17:17" x14ac:dyDescent="0.25">
      <c r="Q163" s="9" t="str">
        <f t="shared" ca="1" si="4"/>
        <v/>
      </c>
    </row>
    <row r="164" spans="17:17" x14ac:dyDescent="0.25">
      <c r="Q164" s="9" t="str">
        <f t="shared" ca="1" si="4"/>
        <v/>
      </c>
    </row>
    <row r="165" spans="17:17" x14ac:dyDescent="0.25">
      <c r="Q165" s="9" t="str">
        <f t="shared" ca="1" si="4"/>
        <v/>
      </c>
    </row>
    <row r="166" spans="17:17" x14ac:dyDescent="0.25">
      <c r="Q166" s="9" t="str">
        <f t="shared" ca="1" si="4"/>
        <v/>
      </c>
    </row>
    <row r="167" spans="17:17" x14ac:dyDescent="0.25">
      <c r="Q167" s="9" t="str">
        <f t="shared" ca="1" si="4"/>
        <v/>
      </c>
    </row>
    <row r="168" spans="17:17" x14ac:dyDescent="0.25">
      <c r="Q168" s="9" t="str">
        <f t="shared" ref="Q168:Q199" ca="1" si="5">IF(AND(N168&lt;TODAY(),Q168&lt;&gt;"Cerrado"),"Vencido",Q168)</f>
        <v/>
      </c>
    </row>
    <row r="169" spans="17:17" x14ac:dyDescent="0.25">
      <c r="Q169" s="9" t="str">
        <f t="shared" ca="1" si="5"/>
        <v/>
      </c>
    </row>
    <row r="170" spans="17:17" x14ac:dyDescent="0.25">
      <c r="Q170" s="9" t="str">
        <f t="shared" ca="1" si="5"/>
        <v/>
      </c>
    </row>
    <row r="171" spans="17:17" x14ac:dyDescent="0.25">
      <c r="Q171" s="9" t="str">
        <f t="shared" ca="1" si="5"/>
        <v/>
      </c>
    </row>
    <row r="172" spans="17:17" x14ac:dyDescent="0.25">
      <c r="Q172" s="9" t="str">
        <f t="shared" ca="1" si="5"/>
        <v/>
      </c>
    </row>
    <row r="173" spans="17:17" x14ac:dyDescent="0.25">
      <c r="Q173" s="9" t="str">
        <f t="shared" ca="1" si="5"/>
        <v/>
      </c>
    </row>
    <row r="174" spans="17:17" x14ac:dyDescent="0.25">
      <c r="Q174" s="9" t="str">
        <f t="shared" ca="1" si="5"/>
        <v/>
      </c>
    </row>
    <row r="175" spans="17:17" x14ac:dyDescent="0.25">
      <c r="Q175" s="9" t="str">
        <f t="shared" ca="1" si="5"/>
        <v/>
      </c>
    </row>
    <row r="176" spans="17:17" x14ac:dyDescent="0.25">
      <c r="Q176" s="9" t="str">
        <f t="shared" ca="1" si="5"/>
        <v/>
      </c>
    </row>
    <row r="177" spans="17:17" x14ac:dyDescent="0.25">
      <c r="Q177" s="9" t="str">
        <f t="shared" ca="1" si="5"/>
        <v/>
      </c>
    </row>
    <row r="178" spans="17:17" x14ac:dyDescent="0.25">
      <c r="Q178" s="9" t="str">
        <f t="shared" ca="1" si="5"/>
        <v/>
      </c>
    </row>
    <row r="179" spans="17:17" x14ac:dyDescent="0.25">
      <c r="Q179" s="9" t="str">
        <f t="shared" ca="1" si="5"/>
        <v/>
      </c>
    </row>
    <row r="180" spans="17:17" x14ac:dyDescent="0.25">
      <c r="Q180" s="9" t="str">
        <f t="shared" ca="1" si="5"/>
        <v/>
      </c>
    </row>
    <row r="181" spans="17:17" x14ac:dyDescent="0.25">
      <c r="Q181" s="9" t="str">
        <f t="shared" ca="1" si="5"/>
        <v/>
      </c>
    </row>
    <row r="182" spans="17:17" x14ac:dyDescent="0.25">
      <c r="Q182" s="9" t="str">
        <f t="shared" ca="1" si="5"/>
        <v/>
      </c>
    </row>
    <row r="183" spans="17:17" x14ac:dyDescent="0.25">
      <c r="Q183" s="9" t="str">
        <f t="shared" ca="1" si="5"/>
        <v/>
      </c>
    </row>
    <row r="184" spans="17:17" x14ac:dyDescent="0.25">
      <c r="Q184" s="9" t="str">
        <f t="shared" ca="1" si="5"/>
        <v/>
      </c>
    </row>
    <row r="185" spans="17:17" x14ac:dyDescent="0.25">
      <c r="Q185" s="9" t="str">
        <f t="shared" ca="1" si="5"/>
        <v/>
      </c>
    </row>
    <row r="186" spans="17:17" x14ac:dyDescent="0.25">
      <c r="Q186" s="9" t="str">
        <f t="shared" ca="1" si="5"/>
        <v/>
      </c>
    </row>
    <row r="187" spans="17:17" x14ac:dyDescent="0.25">
      <c r="Q187" s="9" t="str">
        <f t="shared" ca="1" si="5"/>
        <v/>
      </c>
    </row>
    <row r="188" spans="17:17" x14ac:dyDescent="0.25">
      <c r="Q188" s="9" t="str">
        <f t="shared" ca="1" si="5"/>
        <v/>
      </c>
    </row>
    <row r="189" spans="17:17" x14ac:dyDescent="0.25">
      <c r="Q189" s="9" t="str">
        <f t="shared" ca="1" si="5"/>
        <v/>
      </c>
    </row>
    <row r="190" spans="17:17" x14ac:dyDescent="0.25">
      <c r="Q190" s="9" t="str">
        <f t="shared" ca="1" si="5"/>
        <v/>
      </c>
    </row>
    <row r="191" spans="17:17" x14ac:dyDescent="0.25">
      <c r="Q191" s="9" t="str">
        <f t="shared" ca="1" si="5"/>
        <v/>
      </c>
    </row>
    <row r="192" spans="17:17" x14ac:dyDescent="0.25">
      <c r="Q192" s="9" t="str">
        <f t="shared" ca="1" si="5"/>
        <v/>
      </c>
    </row>
    <row r="193" spans="17:17" x14ac:dyDescent="0.25">
      <c r="Q193" s="9" t="str">
        <f t="shared" ca="1" si="5"/>
        <v/>
      </c>
    </row>
    <row r="194" spans="17:17" x14ac:dyDescent="0.25">
      <c r="Q194" s="9" t="str">
        <f t="shared" ca="1" si="5"/>
        <v/>
      </c>
    </row>
    <row r="195" spans="17:17" x14ac:dyDescent="0.25">
      <c r="Q195" s="9" t="str">
        <f t="shared" ca="1" si="5"/>
        <v/>
      </c>
    </row>
    <row r="196" spans="17:17" x14ac:dyDescent="0.25">
      <c r="Q196" s="9" t="str">
        <f t="shared" ca="1" si="5"/>
        <v/>
      </c>
    </row>
    <row r="197" spans="17:17" x14ac:dyDescent="0.25">
      <c r="Q197" s="9" t="str">
        <f t="shared" ca="1" si="5"/>
        <v/>
      </c>
    </row>
    <row r="198" spans="17:17" x14ac:dyDescent="0.25">
      <c r="Q198" s="9" t="str">
        <f t="shared" ca="1" si="5"/>
        <v/>
      </c>
    </row>
    <row r="199" spans="17:17" x14ac:dyDescent="0.25">
      <c r="Q199" s="9" t="str">
        <f t="shared" ca="1" si="5"/>
        <v/>
      </c>
    </row>
    <row r="200" spans="17:17" x14ac:dyDescent="0.25">
      <c r="Q200" s="9" t="str">
        <f t="shared" ref="Q200:Q206" ca="1" si="6">IF(AND(N200&lt;TODAY(),Q200&lt;&gt;"Cerrado"),"Vencido",Q200)</f>
        <v/>
      </c>
    </row>
    <row r="201" spans="17:17" x14ac:dyDescent="0.25">
      <c r="Q201" s="9" t="str">
        <f t="shared" ca="1" si="6"/>
        <v/>
      </c>
    </row>
    <row r="202" spans="17:17" x14ac:dyDescent="0.25">
      <c r="Q202" s="9" t="str">
        <f t="shared" ca="1" si="6"/>
        <v/>
      </c>
    </row>
    <row r="203" spans="17:17" x14ac:dyDescent="0.25">
      <c r="Q203" s="9" t="str">
        <f t="shared" ca="1" si="6"/>
        <v/>
      </c>
    </row>
    <row r="204" spans="17:17" x14ac:dyDescent="0.25">
      <c r="Q204" s="9" t="str">
        <f t="shared" ca="1" si="6"/>
        <v/>
      </c>
    </row>
    <row r="205" spans="17:17" x14ac:dyDescent="0.25">
      <c r="Q205" s="9" t="str">
        <f t="shared" ca="1" si="6"/>
        <v/>
      </c>
    </row>
    <row r="206" spans="17:17" x14ac:dyDescent="0.25">
      <c r="Q206" s="9" t="str">
        <f t="shared" ca="1" si="6"/>
        <v/>
      </c>
    </row>
  </sheetData>
  <autoFilter ref="A1:AD206" xr:uid="{00000000-0001-0000-0000-000000000000}"/>
  <mergeCells count="1">
    <mergeCell ref="O8:O11"/>
  </mergeCells>
  <conditionalFormatting sqref="F1:F1048576">
    <cfRule type="containsText" dxfId="2" priority="3" operator="containsText" text="Bajo">
      <formula>NOT(ISERROR(SEARCH("Bajo",F1)))</formula>
    </cfRule>
    <cfRule type="containsText" dxfId="1" priority="4" operator="containsText" text="Medio">
      <formula>NOT(ISERROR(SEARCH("Medio",F1)))</formula>
    </cfRule>
    <cfRule type="containsText" dxfId="0" priority="5" operator="containsText" text="Alto">
      <formula>NOT(ISERROR(SEARCH("Alto",F1)))</formula>
    </cfRule>
  </conditionalFormatting>
  <dataValidations count="5">
    <dataValidation type="list" allowBlank="1" sqref="Q8:Q206" xr:uid="{00000000-0002-0000-0000-000001000000}">
      <formula1>"Abierto,En proceso,Cerrado"</formula1>
    </dataValidation>
    <dataValidation type="list" allowBlank="1" sqref="U8:U206 AB8:AB206" xr:uid="{00000000-0002-0000-0000-000002000000}">
      <formula1>"Sí,No"</formula1>
    </dataValidation>
    <dataValidation type="list" allowBlank="1" sqref="X8:X206" xr:uid="{00000000-0002-0000-0000-000003000000}">
      <formula1>"Documental,Prueba de control,Reauditoría"</formula1>
    </dataValidation>
    <dataValidation type="list" allowBlank="1" sqref="Y8:Y206" xr:uid="{00000000-0002-0000-0000-000004000000}">
      <formula1>"Eficaz,Parcialmente eficaz,No eficaz"</formula1>
    </dataValidation>
    <dataValidation type="list" allowBlank="1" sqref="F2:F206" xr:uid="{00000000-0002-0000-0000-000000000000}">
      <formula1>"Alto,Medio,Bajo"</formula1>
    </dataValidation>
  </dataValidation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A6" sqref="A6"/>
    </sheetView>
  </sheetViews>
  <sheetFormatPr baseColWidth="10" defaultColWidth="8.77734375" defaultRowHeight="14.4" x14ac:dyDescent="0.3"/>
  <cols>
    <col min="1" max="1" width="18.6640625" bestFit="1" customWidth="1"/>
  </cols>
  <sheetData>
    <row r="1" spans="1:2" x14ac:dyDescent="0.3">
      <c r="A1" s="1" t="s">
        <v>27</v>
      </c>
    </row>
    <row r="3" spans="1:2" x14ac:dyDescent="0.3">
      <c r="A3" t="s">
        <v>28</v>
      </c>
      <c r="B3" t="str">
        <f ca="1">COUNTIF('Base Hallazgos Aseguramiento'!Q:Q,"Cerrado")/COUNTA('Base Hallazgos Aseguramiento'!C:C)</f>
        <v/>
      </c>
    </row>
    <row r="4" spans="1:2" x14ac:dyDescent="0.3">
      <c r="A4" t="s">
        <v>29</v>
      </c>
      <c r="B4" t="str">
        <f ca="1">COUNTIF('Base Hallazgos Aseguramiento'!Q:Q,"Vencido")/COUNTA('Base Hallazgos Aseguramiento'!C:C)</f>
        <v/>
      </c>
    </row>
    <row r="5" spans="1:2" x14ac:dyDescent="0.3">
      <c r="A5" t="s">
        <v>30</v>
      </c>
      <c r="B5">
        <f>COUNTA('Base Hallazgos Aseguramiento'!C:C)</f>
        <v>25</v>
      </c>
    </row>
    <row r="6" spans="1:2" x14ac:dyDescent="0.3">
      <c r="A6" t="s">
        <v>31</v>
      </c>
      <c r="B6">
        <f>COUNTIF('Base Hallazgos Aseguramiento'!F:F,"Alto")</f>
        <v>16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Base Hallazgos SIG</vt:lpstr>
      <vt:lpstr>Hoja2</vt:lpstr>
      <vt:lpstr>Base Hallazgos Aseguramiento</vt:lpstr>
      <vt:lpstr>Dashboard_Comité</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Licec Ximena Silva Goyeneche</cp:lastModifiedBy>
  <dcterms:created xsi:type="dcterms:W3CDTF">2026-02-11T20:33:51Z</dcterms:created>
  <dcterms:modified xsi:type="dcterms:W3CDTF">2026-06-04T18:13:06Z</dcterms:modified>
</cp:coreProperties>
</file>